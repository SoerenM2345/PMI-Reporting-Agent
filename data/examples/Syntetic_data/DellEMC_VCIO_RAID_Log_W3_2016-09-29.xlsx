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Risks" sheetId="2" state="visible" r:id="rId4"/>
    <sheet name="Assumptions" sheetId="3" state="visible" r:id="rId5"/>
    <sheet name="Issues" sheetId="4" state="visible" r:id="rId6"/>
    <sheet name="Dependencie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<sst xmlns="http://schemas.openxmlformats.org/spreadsheetml/2006/main" count="347" uniqueCount="216">
  <si>
    <t xml:space="preserve">Dell Technologies Integration - Value Creation Integration Office (VCIO)</t>
  </si>
  <si>
    <t xml:space="preserve">Dell Inc. and EMC Corporation  |  Reporting week W3 (26 - 30 September 2016)  |  Day 22 after Day 1  |  Close 7 September 2016</t>
  </si>
  <si>
    <t xml:space="preserve">How to use this workbook</t>
  </si>
  <si>
    <t xml:space="preserve">1. One tab per RAID category: Risks, Assumptions, Issues, Dependencies.</t>
  </si>
  <si>
    <t xml:space="preserve">2. A risk becomes an issue only once it has materialised. Move the row, keep the originating risk ID.</t>
  </si>
  <si>
    <t xml:space="preserve">3. Severity is calculated as likelihood times impact. Do not type it.</t>
  </si>
  <si>
    <t xml:space="preserve">4. Severity 15 and above escalates to the Steering Committee, per the integration charter.</t>
  </si>
  <si>
    <t xml:space="preserve">5. The Summary tab calculates automatically. Do not overwrite formulas.</t>
  </si>
  <si>
    <t xml:space="preserve">Conventions and assumptions</t>
  </si>
  <si>
    <t xml:space="preserve">Reporting week W3 (26 - 30 September 2016), day 22 after Day 1 (7 September 2016).</t>
  </si>
  <si>
    <t xml:space="preserve">Likelihood and impact scored 1 to 5. Bands: 1 to 6 Low, 8 to 12 Medium, 15 to 20 High, 25 Critical.</t>
  </si>
  <si>
    <t xml:space="preserve">Date format DD.MM.YYYY throughout.</t>
  </si>
  <si>
    <t xml:space="preserve">This file is the single source of truth for risks. Where a status deck or a chat thread disagrees, the entry has to be corrected here first.</t>
  </si>
  <si>
    <t xml:space="preserve">Sources for the case anchoring</t>
  </si>
  <si>
    <t xml:space="preserve">EMC Corp, Form 8-K Exhibit 99.1, filed 7 September 2016 (SEC EDGAR)</t>
  </si>
  <si>
    <t xml:space="preserve">Deloitte Global, 'Dell, EMC, and Deloitte create the next tech icon: a technology M&amp;A case study', deloitte.com</t>
  </si>
  <si>
    <t xml:space="preserve">Dell Technologies press release, 7 September 2016</t>
  </si>
  <si>
    <t xml:space="preserve">Synthetic workbook. All operational names, figures, risks and synergy values are invented and internally consistent; they are not a representation of what any party actually did.</t>
  </si>
  <si>
    <t xml:space="preserve">Risk Register</t>
  </si>
  <si>
    <t xml:space="preserve">Status 29 September 2016  |  14 open risks  |  3 at or above severity 15  |  Owner: Value Creation Integration Office (VCIO)</t>
  </si>
  <si>
    <t xml:space="preserve">Risk ID</t>
  </si>
  <si>
    <t xml:space="preserve">Risk description</t>
  </si>
  <si>
    <t xml:space="preserve">Workstream</t>
  </si>
  <si>
    <t xml:space="preserve">Owner</t>
  </si>
  <si>
    <t xml:space="preserve">Likelihood</t>
  </si>
  <si>
    <t xml:space="preserve">Impact</t>
  </si>
  <si>
    <t xml:space="preserve">Severity</t>
  </si>
  <si>
    <t xml:space="preserve">Band</t>
  </si>
  <si>
    <t xml:space="preserve">Mitigation action</t>
  </si>
  <si>
    <t xml:space="preserve">Due date</t>
  </si>
  <si>
    <t xml:space="preserve">Status</t>
  </si>
  <si>
    <t xml:space="preserve">Trend</t>
  </si>
  <si>
    <t xml:space="preserve">Escalated to</t>
  </si>
  <si>
    <t xml:space="preserve">R-01</t>
  </si>
  <si>
    <t xml:space="preserve">Legacy ERP upgrade at the target collides with the integration design, delaying the consolidation blueprint</t>
  </si>
  <si>
    <t xml:space="preserve">WS3 IT</t>
  </si>
  <si>
    <t xml:space="preserve">T. Bergström</t>
  </si>
  <si>
    <t xml:space="preserve">Freeze the legacy upgrade scope, run a joint architecture session, resequence the blueprint against the Day 100 commitment</t>
  </si>
  <si>
    <t xml:space="preserve">Open</t>
  </si>
  <si>
    <t xml:space="preserve">Increasing</t>
  </si>
  <si>
    <t xml:space="preserve">Steering Committee</t>
  </si>
  <si>
    <t xml:space="preserve">R-02</t>
  </si>
  <si>
    <t xml:space="preserve">Works council consultation in Germany does not conclude before the organisation announcement, blocking the structure release</t>
  </si>
  <si>
    <t xml:space="preserve">WS4 Human Capital</t>
  </si>
  <si>
    <t xml:space="preserve">W. Kempowski</t>
  </si>
  <si>
    <t xml:space="preserve">Weekly alignment with the works council chair, prepare a reduced announcement scope that excludes co-determined units</t>
  </si>
  <si>
    <t xml:space="preserve">VCIO</t>
  </si>
  <si>
    <t xml:space="preserve">R-03</t>
  </si>
  <si>
    <t xml:space="preserve">Master data quality in the supplier and material records prevents a clean migration dry run</t>
  </si>
  <si>
    <t xml:space="preserve">G. Aydin</t>
  </si>
  <si>
    <t xml:space="preserve">Re-extract with a corrected field mapping, add a data quality gate before each migration wave</t>
  </si>
  <si>
    <t xml:space="preserve">In progress</t>
  </si>
  <si>
    <t xml:space="preserve">Stable</t>
  </si>
  <si>
    <t xml:space="preserve">R-04</t>
  </si>
  <si>
    <t xml:space="preserve">Key talent attrition in the combined field organisation before the coverage model is in force</t>
  </si>
  <si>
    <t xml:space="preserve">J. Adeyemi</t>
  </si>
  <si>
    <t xml:space="preserve">Confirm retention packages for named critical roles, bring the coverage model communication forward</t>
  </si>
  <si>
    <t xml:space="preserve">R-05</t>
  </si>
  <si>
    <t xml:space="preserve">Customer confusion during the portfolio transition depresses the net promoter score ahead of the flagship event</t>
  </si>
  <si>
    <t xml:space="preserve">WS6 Go-to-Market</t>
  </si>
  <si>
    <t xml:space="preserve">L. Kowalczyk</t>
  </si>
  <si>
    <t xml:space="preserve">Publish the portfolio cross-reference, brief the field with the e-runbook, measure the NPS baseline before the event</t>
  </si>
  <si>
    <t xml:space="preserve">Decreasing</t>
  </si>
  <si>
    <t xml:space="preserve">R-06</t>
  </si>
  <si>
    <t xml:space="preserve">Entity rationalisation slips and delays the transfer pricing model, creating an exposure at the first combined year end</t>
  </si>
  <si>
    <t xml:space="preserve">WS2 Tax</t>
  </si>
  <si>
    <t xml:space="preserve">N. Devereux</t>
  </si>
  <si>
    <t xml:space="preserve">Escalate the entity chain review, run the transfer pricing outline in parallel rather than in sequence</t>
  </si>
  <si>
    <t xml:space="preserve">R-07</t>
  </si>
  <si>
    <t xml:space="preserve">Interdependencies between workstreams are not visible to the teams that create them</t>
  </si>
  <si>
    <t xml:space="preserve">D. Okonjo</t>
  </si>
  <si>
    <t xml:space="preserve">Refresh the dependency map weekly, require both leads to confirm every handover date in the register</t>
  </si>
  <si>
    <t xml:space="preserve">R-08</t>
  </si>
  <si>
    <t xml:space="preserve">Supplier renegotiation slips past the wave 1 window and the procurement synergy lands in the following financial year</t>
  </si>
  <si>
    <t xml:space="preserve">WS5 Supply Chain</t>
  </si>
  <si>
    <t xml:space="preserve">K. Matsuda</t>
  </si>
  <si>
    <t xml:space="preserve">Open negotiations with the top 12 logistics providers before the spend cube is complete rather than after</t>
  </si>
  <si>
    <t xml:space="preserve">R-09</t>
  </si>
  <si>
    <t xml:space="preserve">Two sales organisations continue to call on the same accounts before territory alignment takes effect</t>
  </si>
  <si>
    <t xml:space="preserve">Interim account ownership list published weekly until the coverage model is in force</t>
  </si>
  <si>
    <t xml:space="preserve">R-10</t>
  </si>
  <si>
    <t xml:space="preserve">Site consolidation assumptions rest on lease data that is not yet complete for all EMEA locations</t>
  </si>
  <si>
    <t xml:space="preserve">WS7 Real Estate</t>
  </si>
  <si>
    <t xml:space="preserve">F. Ricciardi</t>
  </si>
  <si>
    <t xml:space="preserve">Complete the lease expiry analysis for the remaining sites before the plan is approved</t>
  </si>
  <si>
    <t xml:space="preserve">R-11</t>
  </si>
  <si>
    <t xml:space="preserve">Debt service constrains discretionary integration spend below the level the plan assumes</t>
  </si>
  <si>
    <t xml:space="preserve">WS1 Finance</t>
  </si>
  <si>
    <t xml:space="preserve">R. Whitfield</t>
  </si>
  <si>
    <t xml:space="preserve">Re-phase cost to achieve into the following financial year for initiatives that are not on the critical path</t>
  </si>
  <si>
    <t xml:space="preserve">R-12</t>
  </si>
  <si>
    <t xml:space="preserve">Reporting arrives at the office in six different formats and reconciliation consumes the analyst capacity that should go into analysis</t>
  </si>
  <si>
    <t xml:space="preserve">S. Lindqvist</t>
  </si>
  <si>
    <t xml:space="preserve">Mandate the tracker as the single source, accept slide input only as commentary</t>
  </si>
  <si>
    <t xml:space="preserve">R-13</t>
  </si>
  <si>
    <t xml:space="preserve">Pension obligation at the target is larger than the baseline assumes</t>
  </si>
  <si>
    <t xml:space="preserve">Commission an actuarial review before the opening balance sheet is finalised</t>
  </si>
  <si>
    <t xml:space="preserve">R-14</t>
  </si>
  <si>
    <t xml:space="preserve">Rebranding at customer-facing sites is not complete before the flagship event</t>
  </si>
  <si>
    <t xml:space="preserve">Prioritise tier 1 sites and event venues, accept a phased schedule elsewhere</t>
  </si>
  <si>
    <t xml:space="preserve">Assumption Register</t>
  </si>
  <si>
    <t xml:space="preserve">Assumptions the plan depends on and their validation status, 29 September 2016</t>
  </si>
  <si>
    <t xml:space="preserve">Assumption ID</t>
  </si>
  <si>
    <t xml:space="preserve">Assumption</t>
  </si>
  <si>
    <t xml:space="preserve">Date made</t>
  </si>
  <si>
    <t xml:space="preserve">Impact if invalid</t>
  </si>
  <si>
    <t xml:space="preserve">Validation action</t>
  </si>
  <si>
    <t xml:space="preserve">Validate by</t>
  </si>
  <si>
    <t xml:space="preserve">Validation status</t>
  </si>
  <si>
    <t xml:space="preserve">AS-01</t>
  </si>
  <si>
    <t xml:space="preserve">The legacy ERP maintenance agreement at the target can be exited on three months notice</t>
  </si>
  <si>
    <t xml:space="preserve">ERP decommissioning slips by up to nine months and the licence synergy in S-04 is lost</t>
  </si>
  <si>
    <t xml:space="preserve">Legal to review the maintenance clause and confirm the notice period</t>
  </si>
  <si>
    <t xml:space="preserve">AS-02</t>
  </si>
  <si>
    <t xml:space="preserve">No further regulatory condition applies to the EMEA entity mergers</t>
  </si>
  <si>
    <t xml:space="preserve">Entity rationalisation and the transfer pricing model both slip</t>
  </si>
  <si>
    <t xml:space="preserve">External counsel to confirm per jurisdiction</t>
  </si>
  <si>
    <t xml:space="preserve">AS-03</t>
  </si>
  <si>
    <t xml:space="preserve">Retention acceptance among named critical roles will exceed 85 percent</t>
  </si>
  <si>
    <t xml:space="preserve">Coverage model and account continuity are both exposed</t>
  </si>
  <si>
    <t xml:space="preserve">Track acceptance weekly and report at Day 30</t>
  </si>
  <si>
    <t xml:space="preserve">AS-04</t>
  </si>
  <si>
    <t xml:space="preserve">Supplier contracts contain no change of control clause that blocks renegotiation</t>
  </si>
  <si>
    <t xml:space="preserve">Procurement synergy wave 1 cannot be booked in the current financial year</t>
  </si>
  <si>
    <t xml:space="preserve">Contract review for the top 12 logistics providers</t>
  </si>
  <si>
    <t xml:space="preserve">Confirmed</t>
  </si>
  <si>
    <t xml:space="preserve">AS-05</t>
  </si>
  <si>
    <t xml:space="preserve">The flagship event date of 18 to 20 October is immovable</t>
  </si>
  <si>
    <t xml:space="preserve">Portfolio and narrative milestones lose their forcing function</t>
  </si>
  <si>
    <t xml:space="preserve">None, treated as fixed</t>
  </si>
  <si>
    <t xml:space="preserve">AS-06</t>
  </si>
  <si>
    <t xml:space="preserve">Integration spend approved at close remains available in full</t>
  </si>
  <si>
    <t xml:space="preserve">Cost to achieve must be re-phased and synergy delivery moves right</t>
  </si>
  <si>
    <t xml:space="preserve">Confirm with treasury at the first combined quarter end</t>
  </si>
  <si>
    <t xml:space="preserve">Issue Log</t>
  </si>
  <si>
    <t xml:space="preserve">Risks that have materialised and problems already occurring, 29 September 2016</t>
  </si>
  <si>
    <t xml:space="preserve">Issue ID</t>
  </si>
  <si>
    <t xml:space="preserve">Issue description</t>
  </si>
  <si>
    <t xml:space="preserve">Originating risk</t>
  </si>
  <si>
    <t xml:space="preserve">Date raised</t>
  </si>
  <si>
    <t xml:space="preserve">Impact on milestone</t>
  </si>
  <si>
    <t xml:space="preserve">Resolution action</t>
  </si>
  <si>
    <t xml:space="preserve">Target date</t>
  </si>
  <si>
    <t xml:space="preserve">I-01</t>
  </si>
  <si>
    <t xml:space="preserve">Material master extract from the target is incomplete; 18 percent of records are missing mandatory fields</t>
  </si>
  <si>
    <t xml:space="preserve">High</t>
  </si>
  <si>
    <t xml:space="preserve">M-07 blueprint sign-off</t>
  </si>
  <si>
    <t xml:space="preserve">Re-extract with corrected field mapping and a data quality gate</t>
  </si>
  <si>
    <t xml:space="preserve">I-02</t>
  </si>
  <si>
    <t xml:space="preserve">The EMEA entity chain tax review has passed its due date and now blocks the rationalisation plan</t>
  </si>
  <si>
    <t xml:space="preserve">M-05 entity plan approval</t>
  </si>
  <si>
    <t xml:space="preserve">Escalated to the Steering Committee with a named completion date</t>
  </si>
  <si>
    <t xml:space="preserve">I-03</t>
  </si>
  <si>
    <t xml:space="preserve">Reported secured synergy exceeded the Finance-validated figure in the session 01 pack</t>
  </si>
  <si>
    <t xml:space="preserve">-</t>
  </si>
  <si>
    <t xml:space="preserve">M. Haddad</t>
  </si>
  <si>
    <t xml:space="preserve">Medium</t>
  </si>
  <si>
    <t xml:space="preserve">Credibility of the value case</t>
  </si>
  <si>
    <t xml:space="preserve">Only Finance-validated initiatives are counted from session 02 onward, per decision B-06</t>
  </si>
  <si>
    <t xml:space="preserve">Resolved</t>
  </si>
  <si>
    <t xml:space="preserve">I-04</t>
  </si>
  <si>
    <t xml:space="preserve">Two field organisations called on the same 40 named accounts in the first fortnight</t>
  </si>
  <si>
    <t xml:space="preserve">Customer experience ahead of the flagship event</t>
  </si>
  <si>
    <t xml:space="preserve">Interim account ownership list published weekly</t>
  </si>
  <si>
    <t xml:space="preserve">I-05</t>
  </si>
  <si>
    <t xml:space="preserve">The role holder table still names the previous Human Capital workstream lead</t>
  </si>
  <si>
    <t xml:space="preserve">Low</t>
  </si>
  <si>
    <t xml:space="preserve">Ownership clarity</t>
  </si>
  <si>
    <t xml:space="preserve">Update the role holder table and reconcile it against the role cards</t>
  </si>
  <si>
    <t xml:space="preserve">Dependency Register</t>
  </si>
  <si>
    <t xml:space="preserve">Cross-workstream handovers  |  decision B-03 requires both leads to confirm |  2 still one-sided</t>
  </si>
  <si>
    <t xml:space="preserve">Dependency ID</t>
  </si>
  <si>
    <t xml:space="preserve">Deliverable handed over</t>
  </si>
  <si>
    <t xml:space="preserve">From workstream</t>
  </si>
  <si>
    <t xml:space="preserve">From owner</t>
  </si>
  <si>
    <t xml:space="preserve">To workstream</t>
  </si>
  <si>
    <t xml:space="preserve">To owner</t>
  </si>
  <si>
    <t xml:space="preserve">Needed by</t>
  </si>
  <si>
    <t xml:space="preserve">Criticality</t>
  </si>
  <si>
    <t xml:space="preserve">Both leads confirmed</t>
  </si>
  <si>
    <t xml:space="preserve">D-01</t>
  </si>
  <si>
    <t xml:space="preserve">Approved legal entity structure required to fix the consolidation scope</t>
  </si>
  <si>
    <t xml:space="preserve">Critical</t>
  </si>
  <si>
    <t xml:space="preserve">No</t>
  </si>
  <si>
    <t xml:space="preserve">At risk</t>
  </si>
  <si>
    <t xml:space="preserve">D-02</t>
  </si>
  <si>
    <t xml:space="preserve">ERP target system decision required before the material master re-extract</t>
  </si>
  <si>
    <t xml:space="preserve">Yes</t>
  </si>
  <si>
    <t xml:space="preserve">Delayed</t>
  </si>
  <si>
    <t xml:space="preserve">D-03</t>
  </si>
  <si>
    <t xml:space="preserve">Works council conclusion required before the organisation structure release</t>
  </si>
  <si>
    <t xml:space="preserve">D-04</t>
  </si>
  <si>
    <t xml:space="preserve">Compensation plan design required before territory and quota alignment</t>
  </si>
  <si>
    <t xml:space="preserve">On track</t>
  </si>
  <si>
    <t xml:space="preserve">D-05</t>
  </si>
  <si>
    <t xml:space="preserve">Spend cube required before logistics renegotiation can be scoped</t>
  </si>
  <si>
    <t xml:space="preserve">D-06</t>
  </si>
  <si>
    <t xml:space="preserve">Lease expiry analysis required before the EMEA site plan is approved</t>
  </si>
  <si>
    <t xml:space="preserve">D-07</t>
  </si>
  <si>
    <t xml:space="preserve">Entity plan required before transfer pricing documentation can begin</t>
  </si>
  <si>
    <t xml:space="preserve">D-08</t>
  </si>
  <si>
    <t xml:space="preserve">Portfolio cross-reference required before the flagship event narrative</t>
  </si>
  <si>
    <t xml:space="preserve">RAID Summary</t>
  </si>
  <si>
    <t xml:space="preserve">Calculates automatically from the four registers. No input.</t>
  </si>
  <si>
    <t xml:space="preserve">Risks by severity band</t>
  </si>
  <si>
    <t xml:space="preserve">Number</t>
  </si>
  <si>
    <t xml:space="preserve">Share</t>
  </si>
  <si>
    <t xml:space="preserve">Total</t>
  </si>
  <si>
    <t xml:space="preserve">RAID volume</t>
  </si>
  <si>
    <t xml:space="preserve">Open risks</t>
  </si>
  <si>
    <t xml:space="preserve">Risks at or above severity 15</t>
  </si>
  <si>
    <t xml:space="preserve">Risks escalated beyond the workstream</t>
  </si>
  <si>
    <t xml:space="preserve">Open assumptions</t>
  </si>
  <si>
    <t xml:space="preserve">Open issues</t>
  </si>
  <si>
    <t xml:space="preserve">Dependencies at risk or delayed</t>
  </si>
  <si>
    <t xml:space="preserve">Critical or high dependencies not confirmed by both leads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</si>
</sst>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yyyy\-mm\-dd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46A38"/>
      <name val="Arial"/>
      <family val="0"/>
      <charset val="1"/>
    </font>
    <font>
      <sz val="8.5"/>
      <color rgb="FF75787B"/>
      <name val="Arial"/>
      <family val="0"/>
      <charset val="1"/>
    </font>
    <font>
      <b val="true"/>
      <sz val="11"/>
      <color rgb="FF046A38"/>
      <name val="Arial"/>
      <family val="0"/>
      <charset val="1"/>
    </font>
    <font>
      <sz val="9"/>
      <name val="Arial"/>
      <family val="0"/>
      <charset val="1"/>
    </font>
    <font>
      <sz val="9"/>
      <color rgb="FF75787B"/>
      <name val="Arial"/>
      <family val="0"/>
      <charset val="1"/>
    </font>
    <font>
      <i val="true"/>
      <sz val="8.5"/>
      <color rgb="FF75787B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"/>
      <color rgb="FFDA291C"/>
      <name val="Arial"/>
      <family val="0"/>
      <charset val="1"/>
    </font>
    <font>
      <b val="true"/>
      <sz val="9"/>
      <color rgb="FFED8B0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1F6E4"/>
        <bgColor rgb="FFF7F9F3"/>
      </patternFill>
    </fill>
    <fill>
      <patternFill patternType="solid">
        <fgColor rgb="FFF7F9F3"/>
        <bgColor rgb="FFF1F6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BFBFBF"/>
      <rgbColor rgb="FF75787B"/>
      <rgbColor rgb="FF9999FF"/>
      <rgbColor rgb="FF993366"/>
      <rgbColor rgb="FFF1F6E4"/>
      <rgbColor rgb="FFF7F9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B00"/>
      <rgbColor rgb="FFFF6600"/>
      <rgbColor rgb="FF666699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A7" s="4" t="s">
        <v>5</v>
      </c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A8" s="4" t="s">
        <v>6</v>
      </c>
      <c r="B8" s="4"/>
      <c r="C8" s="4"/>
      <c r="D8" s="4"/>
      <c r="E8" s="4"/>
      <c r="F8" s="4"/>
      <c r="G8" s="4"/>
      <c r="H8" s="4"/>
    </row>
    <row r="9" customFormat="false" ht="25.5" hidden="false" customHeight="true" outlineLevel="0" collapsed="false">
      <c r="A9" s="4" t="s">
        <v>7</v>
      </c>
      <c r="B9" s="4"/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A11" s="3" t="s">
        <v>8</v>
      </c>
    </row>
    <row r="12" customFormat="false" ht="25.5" hidden="false" customHeight="true" outlineLevel="0" collapsed="false">
      <c r="A12" s="5" t="s">
        <v>9</v>
      </c>
      <c r="B12" s="5"/>
      <c r="C12" s="5"/>
      <c r="D12" s="5"/>
      <c r="E12" s="5"/>
      <c r="F12" s="5"/>
      <c r="G12" s="5"/>
      <c r="H12" s="5"/>
    </row>
    <row r="13" customFormat="false" ht="25.5" hidden="false" customHeight="true" outlineLevel="0" collapsed="false">
      <c r="A13" s="5" t="s">
        <v>10</v>
      </c>
      <c r="B13" s="5"/>
      <c r="C13" s="5"/>
      <c r="D13" s="5"/>
      <c r="E13" s="5"/>
      <c r="F13" s="5"/>
      <c r="G13" s="5"/>
      <c r="H13" s="5"/>
    </row>
    <row r="14" customFormat="false" ht="25.5" hidden="false" customHeight="true" outlineLevel="0" collapsed="false">
      <c r="A14" s="5" t="s">
        <v>11</v>
      </c>
      <c r="B14" s="5"/>
      <c r="C14" s="5"/>
      <c r="D14" s="5"/>
      <c r="E14" s="5"/>
      <c r="F14" s="5"/>
      <c r="G14" s="5"/>
      <c r="H14" s="5"/>
    </row>
    <row r="15" customFormat="false" ht="25.5" hidden="false" customHeight="true" outlineLevel="0" collapsed="false">
      <c r="A15" s="5" t="s">
        <v>12</v>
      </c>
      <c r="B15" s="5"/>
      <c r="C15" s="5"/>
      <c r="D15" s="5"/>
      <c r="E15" s="5"/>
      <c r="F15" s="5"/>
      <c r="G15" s="5"/>
      <c r="H15" s="5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6" t="s">
        <v>14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6" t="s">
        <v>15</v>
      </c>
      <c r="B19" s="6"/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A20" s="6" t="s">
        <v>16</v>
      </c>
      <c r="B20" s="6"/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7" t="s">
        <v>17</v>
      </c>
      <c r="B22" s="7"/>
      <c r="C22" s="7"/>
      <c r="D22" s="7"/>
      <c r="E22" s="7"/>
      <c r="F22" s="7"/>
      <c r="G22" s="7"/>
      <c r="H22" s="7"/>
    </row>
  </sheetData>
  <mergeCells count="13">
    <mergeCell ref="A5:H5"/>
    <mergeCell ref="A6:H6"/>
    <mergeCell ref="A7:H7"/>
    <mergeCell ref="A8:H8"/>
    <mergeCell ref="A9:H9"/>
    <mergeCell ref="A12:H12"/>
    <mergeCell ref="A13:H13"/>
    <mergeCell ref="A14:H14"/>
    <mergeCell ref="A15:H15"/>
    <mergeCell ref="A18:H18"/>
    <mergeCell ref="A19:H19"/>
    <mergeCell ref="A20:H20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58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8"/>
  </cols>
  <sheetData>
    <row r="1" customFormat="false" ht="16.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30" hidden="false" customHeight="true" outlineLevel="0" collapsed="false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28</v>
      </c>
      <c r="J4" s="8" t="s">
        <v>29</v>
      </c>
      <c r="K4" s="8" t="s">
        <v>30</v>
      </c>
      <c r="L4" s="8" t="s">
        <v>31</v>
      </c>
      <c r="M4" s="8" t="s">
        <v>32</v>
      </c>
    </row>
    <row r="5" customFormat="false" ht="22.35" hidden="false" customHeight="false" outlineLevel="0" collapsed="false">
      <c r="A5" s="9" t="s">
        <v>33</v>
      </c>
      <c r="B5" s="9" t="s">
        <v>34</v>
      </c>
      <c r="C5" s="9" t="s">
        <v>35</v>
      </c>
      <c r="D5" s="9" t="s">
        <v>36</v>
      </c>
      <c r="E5" s="9" t="n">
        <v>4</v>
      </c>
      <c r="F5" s="9" t="n">
        <v>5</v>
      </c>
      <c r="G5" s="10" t="n">
        <f aca="false">E5*F5</f>
        <v>20</v>
      </c>
      <c r="H5" s="11" t="str">
        <f aca="false">IF(G5&gt;=25,"Critical",IF(G5&gt;=15,"High",IF(G5&gt;=8,"Medium","Low")))</f>
        <v>High</v>
      </c>
      <c r="I5" s="9" t="s">
        <v>37</v>
      </c>
      <c r="J5" s="12" t="n">
        <v>42657</v>
      </c>
      <c r="K5" s="9" t="s">
        <v>38</v>
      </c>
      <c r="L5" s="9" t="s">
        <v>39</v>
      </c>
      <c r="M5" s="9" t="s">
        <v>40</v>
      </c>
    </row>
    <row r="6" customFormat="false" ht="22.35" hidden="false" customHeight="false" outlineLevel="0" collapsed="false">
      <c r="A6" s="13" t="s">
        <v>41</v>
      </c>
      <c r="B6" s="13" t="s">
        <v>42</v>
      </c>
      <c r="C6" s="13" t="s">
        <v>43</v>
      </c>
      <c r="D6" s="13" t="s">
        <v>44</v>
      </c>
      <c r="E6" s="13" t="n">
        <v>4</v>
      </c>
      <c r="F6" s="13" t="n">
        <v>3</v>
      </c>
      <c r="G6" s="10" t="n">
        <f aca="false">E6*F6</f>
        <v>12</v>
      </c>
      <c r="H6" s="14" t="str">
        <f aca="false">IF(G6&gt;=25,"Critical",IF(G6&gt;=15,"High",IF(G6&gt;=8,"Medium","Low")))</f>
        <v>Medium</v>
      </c>
      <c r="I6" s="13" t="s">
        <v>45</v>
      </c>
      <c r="J6" s="15" t="n">
        <v>42664</v>
      </c>
      <c r="K6" s="13" t="s">
        <v>38</v>
      </c>
      <c r="L6" s="13" t="s">
        <v>39</v>
      </c>
      <c r="M6" s="13" t="s">
        <v>46</v>
      </c>
    </row>
    <row r="7" customFormat="false" ht="22.35" hidden="false" customHeight="false" outlineLevel="0" collapsed="false">
      <c r="A7" s="9" t="s">
        <v>47</v>
      </c>
      <c r="B7" s="9" t="s">
        <v>48</v>
      </c>
      <c r="C7" s="9" t="s">
        <v>35</v>
      </c>
      <c r="D7" s="9" t="s">
        <v>49</v>
      </c>
      <c r="E7" s="9" t="n">
        <v>4</v>
      </c>
      <c r="F7" s="9" t="n">
        <v>4</v>
      </c>
      <c r="G7" s="10" t="n">
        <f aca="false">E7*F7</f>
        <v>16</v>
      </c>
      <c r="H7" s="11" t="str">
        <f aca="false">IF(G7&gt;=25,"Critical",IF(G7&gt;=15,"High",IF(G7&gt;=8,"Medium","Low")))</f>
        <v>High</v>
      </c>
      <c r="I7" s="9" t="s">
        <v>50</v>
      </c>
      <c r="J7" s="12" t="n">
        <v>42648</v>
      </c>
      <c r="K7" s="9" t="s">
        <v>51</v>
      </c>
      <c r="L7" s="9" t="s">
        <v>52</v>
      </c>
      <c r="M7" s="9" t="s">
        <v>46</v>
      </c>
    </row>
    <row r="8" customFormat="false" ht="22.35" hidden="false" customHeight="false" outlineLevel="0" collapsed="false">
      <c r="A8" s="13" t="s">
        <v>53</v>
      </c>
      <c r="B8" s="13" t="s">
        <v>54</v>
      </c>
      <c r="C8" s="13" t="s">
        <v>43</v>
      </c>
      <c r="D8" s="13" t="s">
        <v>55</v>
      </c>
      <c r="E8" s="13" t="n">
        <v>3</v>
      </c>
      <c r="F8" s="13" t="n">
        <v>5</v>
      </c>
      <c r="G8" s="10" t="n">
        <f aca="false">E8*F8</f>
        <v>15</v>
      </c>
      <c r="H8" s="11" t="str">
        <f aca="false">IF(G8&gt;=25,"Critical",IF(G8&gt;=15,"High",IF(G8&gt;=8,"Medium","Low")))</f>
        <v>High</v>
      </c>
      <c r="I8" s="13" t="s">
        <v>56</v>
      </c>
      <c r="J8" s="15" t="n">
        <v>42650</v>
      </c>
      <c r="K8" s="13" t="s">
        <v>51</v>
      </c>
      <c r="L8" s="13" t="s">
        <v>52</v>
      </c>
      <c r="M8" s="13" t="s">
        <v>40</v>
      </c>
    </row>
    <row r="9" customFormat="false" ht="22.35" hidden="false" customHeight="false" outlineLevel="0" collapsed="false">
      <c r="A9" s="9" t="s">
        <v>57</v>
      </c>
      <c r="B9" s="9" t="s">
        <v>58</v>
      </c>
      <c r="C9" s="9" t="s">
        <v>59</v>
      </c>
      <c r="D9" s="9" t="s">
        <v>60</v>
      </c>
      <c r="E9" s="9" t="n">
        <v>3</v>
      </c>
      <c r="F9" s="9" t="n">
        <v>4</v>
      </c>
      <c r="G9" s="10" t="n">
        <f aca="false">E9*F9</f>
        <v>12</v>
      </c>
      <c r="H9" s="14" t="str">
        <f aca="false">IF(G9&gt;=25,"Critical",IF(G9&gt;=15,"High",IF(G9&gt;=8,"Medium","Low")))</f>
        <v>Medium</v>
      </c>
      <c r="I9" s="9" t="s">
        <v>61</v>
      </c>
      <c r="J9" s="12" t="n">
        <v>42654</v>
      </c>
      <c r="K9" s="9" t="s">
        <v>51</v>
      </c>
      <c r="L9" s="9" t="s">
        <v>62</v>
      </c>
      <c r="M9" s="9"/>
    </row>
    <row r="10" customFormat="false" ht="22.35" hidden="false" customHeight="false" outlineLevel="0" collapsed="false">
      <c r="A10" s="13" t="s">
        <v>63</v>
      </c>
      <c r="B10" s="13" t="s">
        <v>64</v>
      </c>
      <c r="C10" s="13" t="s">
        <v>65</v>
      </c>
      <c r="D10" s="13" t="s">
        <v>66</v>
      </c>
      <c r="E10" s="13" t="n">
        <v>3</v>
      </c>
      <c r="F10" s="13" t="n">
        <v>4</v>
      </c>
      <c r="G10" s="10" t="n">
        <f aca="false">E10*F10</f>
        <v>12</v>
      </c>
      <c r="H10" s="14" t="str">
        <f aca="false">IF(G10&gt;=25,"Critical",IF(G10&gt;=15,"High",IF(G10&gt;=8,"Medium","Low")))</f>
        <v>Medium</v>
      </c>
      <c r="I10" s="13" t="s">
        <v>67</v>
      </c>
      <c r="J10" s="15" t="n">
        <v>42664</v>
      </c>
      <c r="K10" s="13" t="s">
        <v>38</v>
      </c>
      <c r="L10" s="13" t="s">
        <v>39</v>
      </c>
      <c r="M10" s="13" t="s">
        <v>40</v>
      </c>
    </row>
    <row r="11" customFormat="false" ht="22.35" hidden="false" customHeight="false" outlineLevel="0" collapsed="false">
      <c r="A11" s="9" t="s">
        <v>68</v>
      </c>
      <c r="B11" s="9" t="s">
        <v>69</v>
      </c>
      <c r="C11" s="9" t="s">
        <v>35</v>
      </c>
      <c r="D11" s="9" t="s">
        <v>70</v>
      </c>
      <c r="E11" s="9" t="n">
        <v>4</v>
      </c>
      <c r="F11" s="9" t="n">
        <v>3</v>
      </c>
      <c r="G11" s="10" t="n">
        <f aca="false">E11*F11</f>
        <v>12</v>
      </c>
      <c r="H11" s="14" t="str">
        <f aca="false">IF(G11&gt;=25,"Critical",IF(G11&gt;=15,"High",IF(G11&gt;=8,"Medium","Low")))</f>
        <v>Medium</v>
      </c>
      <c r="I11" s="9" t="s">
        <v>71</v>
      </c>
      <c r="J11" s="12" t="n">
        <v>42643</v>
      </c>
      <c r="K11" s="9" t="s">
        <v>51</v>
      </c>
      <c r="L11" s="9" t="s">
        <v>62</v>
      </c>
      <c r="M11" s="9"/>
    </row>
    <row r="12" customFormat="false" ht="22.35" hidden="false" customHeight="false" outlineLevel="0" collapsed="false">
      <c r="A12" s="13" t="s">
        <v>72</v>
      </c>
      <c r="B12" s="13" t="s">
        <v>73</v>
      </c>
      <c r="C12" s="13" t="s">
        <v>74</v>
      </c>
      <c r="D12" s="13" t="s">
        <v>75</v>
      </c>
      <c r="E12" s="13" t="n">
        <v>3</v>
      </c>
      <c r="F12" s="13" t="n">
        <v>3</v>
      </c>
      <c r="G12" s="10" t="n">
        <f aca="false">E12*F12</f>
        <v>9</v>
      </c>
      <c r="H12" s="14" t="str">
        <f aca="false">IF(G12&gt;=25,"Critical",IF(G12&gt;=15,"High",IF(G12&gt;=8,"Medium","Low")))</f>
        <v>Medium</v>
      </c>
      <c r="I12" s="13" t="s">
        <v>76</v>
      </c>
      <c r="J12" s="15" t="n">
        <v>42671</v>
      </c>
      <c r="K12" s="13" t="s">
        <v>38</v>
      </c>
      <c r="L12" s="13" t="s">
        <v>52</v>
      </c>
      <c r="M12" s="13"/>
    </row>
    <row r="13" customFormat="false" ht="22.35" hidden="false" customHeight="false" outlineLevel="0" collapsed="false">
      <c r="A13" s="9" t="s">
        <v>77</v>
      </c>
      <c r="B13" s="9" t="s">
        <v>78</v>
      </c>
      <c r="C13" s="9" t="s">
        <v>59</v>
      </c>
      <c r="D13" s="9" t="s">
        <v>60</v>
      </c>
      <c r="E13" s="9" t="n">
        <v>3</v>
      </c>
      <c r="F13" s="9" t="n">
        <v>3</v>
      </c>
      <c r="G13" s="10" t="n">
        <f aca="false">E13*F13</f>
        <v>9</v>
      </c>
      <c r="H13" s="14" t="str">
        <f aca="false">IF(G13&gt;=25,"Critical",IF(G13&gt;=15,"High",IF(G13&gt;=8,"Medium","Low")))</f>
        <v>Medium</v>
      </c>
      <c r="I13" s="9" t="s">
        <v>79</v>
      </c>
      <c r="J13" s="12" t="n">
        <v>42657</v>
      </c>
      <c r="K13" s="9" t="s">
        <v>51</v>
      </c>
      <c r="L13" s="9" t="s">
        <v>52</v>
      </c>
      <c r="M13" s="9"/>
    </row>
    <row r="14" customFormat="false" ht="22.35" hidden="false" customHeight="false" outlineLevel="0" collapsed="false">
      <c r="A14" s="13" t="s">
        <v>80</v>
      </c>
      <c r="B14" s="13" t="s">
        <v>81</v>
      </c>
      <c r="C14" s="13" t="s">
        <v>82</v>
      </c>
      <c r="D14" s="13" t="s">
        <v>83</v>
      </c>
      <c r="E14" s="13" t="n">
        <v>3</v>
      </c>
      <c r="F14" s="13" t="n">
        <v>2</v>
      </c>
      <c r="G14" s="10" t="n">
        <f aca="false">E14*F14</f>
        <v>6</v>
      </c>
      <c r="H14" s="16" t="str">
        <f aca="false">IF(G14&gt;=25,"Critical",IF(G14&gt;=15,"High",IF(G14&gt;=8,"Medium","Low")))</f>
        <v>Low</v>
      </c>
      <c r="I14" s="13" t="s">
        <v>84</v>
      </c>
      <c r="J14" s="15" t="n">
        <v>42664</v>
      </c>
      <c r="K14" s="13" t="s">
        <v>38</v>
      </c>
      <c r="L14" s="13" t="s">
        <v>52</v>
      </c>
      <c r="M14" s="13"/>
    </row>
    <row r="15" customFormat="false" ht="22.35" hidden="false" customHeight="false" outlineLevel="0" collapsed="false">
      <c r="A15" s="9" t="s">
        <v>85</v>
      </c>
      <c r="B15" s="9" t="s">
        <v>86</v>
      </c>
      <c r="C15" s="9" t="s">
        <v>87</v>
      </c>
      <c r="D15" s="9" t="s">
        <v>88</v>
      </c>
      <c r="E15" s="9" t="n">
        <v>2</v>
      </c>
      <c r="F15" s="9" t="n">
        <v>5</v>
      </c>
      <c r="G15" s="10" t="n">
        <f aca="false">E15*F15</f>
        <v>10</v>
      </c>
      <c r="H15" s="14" t="str">
        <f aca="false">IF(G15&gt;=25,"Critical",IF(G15&gt;=15,"High",IF(G15&gt;=8,"Medium","Low")))</f>
        <v>Medium</v>
      </c>
      <c r="I15" s="9" t="s">
        <v>89</v>
      </c>
      <c r="J15" s="12" t="n">
        <v>42678</v>
      </c>
      <c r="K15" s="9" t="s">
        <v>38</v>
      </c>
      <c r="L15" s="9" t="s">
        <v>52</v>
      </c>
      <c r="M15" s="9" t="s">
        <v>40</v>
      </c>
    </row>
    <row r="16" customFormat="false" ht="22.35" hidden="false" customHeight="false" outlineLevel="0" collapsed="false">
      <c r="A16" s="13" t="s">
        <v>90</v>
      </c>
      <c r="B16" s="13" t="s">
        <v>91</v>
      </c>
      <c r="C16" s="13" t="s">
        <v>87</v>
      </c>
      <c r="D16" s="13" t="s">
        <v>92</v>
      </c>
      <c r="E16" s="13" t="n">
        <v>5</v>
      </c>
      <c r="F16" s="13" t="n">
        <v>2</v>
      </c>
      <c r="G16" s="10" t="n">
        <f aca="false">E16*F16</f>
        <v>10</v>
      </c>
      <c r="H16" s="14" t="str">
        <f aca="false">IF(G16&gt;=25,"Critical",IF(G16&gt;=15,"High",IF(G16&gt;=8,"Medium","Low")))</f>
        <v>Medium</v>
      </c>
      <c r="I16" s="13" t="s">
        <v>93</v>
      </c>
      <c r="J16" s="15" t="n">
        <v>42650</v>
      </c>
      <c r="K16" s="13" t="s">
        <v>51</v>
      </c>
      <c r="L16" s="13" t="s">
        <v>52</v>
      </c>
      <c r="M16" s="13"/>
    </row>
    <row r="17" customFormat="false" ht="15" hidden="false" customHeight="false" outlineLevel="0" collapsed="false">
      <c r="A17" s="9" t="s">
        <v>94</v>
      </c>
      <c r="B17" s="9" t="s">
        <v>95</v>
      </c>
      <c r="C17" s="9" t="s">
        <v>87</v>
      </c>
      <c r="D17" s="9" t="s">
        <v>88</v>
      </c>
      <c r="E17" s="9" t="n">
        <v>2</v>
      </c>
      <c r="F17" s="9" t="n">
        <v>4</v>
      </c>
      <c r="G17" s="10" t="n">
        <f aca="false">E17*F17</f>
        <v>8</v>
      </c>
      <c r="H17" s="14" t="str">
        <f aca="false">IF(G17&gt;=25,"Critical",IF(G17&gt;=15,"High",IF(G17&gt;=8,"Medium","Low")))</f>
        <v>Medium</v>
      </c>
      <c r="I17" s="9" t="s">
        <v>96</v>
      </c>
      <c r="J17" s="12" t="n">
        <v>42650</v>
      </c>
      <c r="K17" s="9" t="s">
        <v>38</v>
      </c>
      <c r="L17" s="9" t="s">
        <v>52</v>
      </c>
      <c r="M17" s="9"/>
    </row>
    <row r="18" customFormat="false" ht="15" hidden="false" customHeight="false" outlineLevel="0" collapsed="false">
      <c r="A18" s="13" t="s">
        <v>97</v>
      </c>
      <c r="B18" s="13" t="s">
        <v>98</v>
      </c>
      <c r="C18" s="13" t="s">
        <v>82</v>
      </c>
      <c r="D18" s="13" t="s">
        <v>83</v>
      </c>
      <c r="E18" s="13" t="n">
        <v>2</v>
      </c>
      <c r="F18" s="13" t="n">
        <v>2</v>
      </c>
      <c r="G18" s="10" t="n">
        <f aca="false">E18*F18</f>
        <v>4</v>
      </c>
      <c r="H18" s="16" t="str">
        <f aca="false">IF(G18&gt;=25,"Critical",IF(G18&gt;=15,"High",IF(G18&gt;=8,"Medium","Low")))</f>
        <v>Low</v>
      </c>
      <c r="I18" s="13" t="s">
        <v>99</v>
      </c>
      <c r="J18" s="15" t="n">
        <v>42657</v>
      </c>
      <c r="K18" s="13" t="s">
        <v>51</v>
      </c>
      <c r="L18" s="13" t="s">
        <v>62</v>
      </c>
      <c r="M1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52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0" hidden="false" customHeight="true" outlineLevel="0" collapsed="false">
      <c r="A4" s="8" t="s">
        <v>102</v>
      </c>
      <c r="B4" s="8" t="s">
        <v>103</v>
      </c>
      <c r="C4" s="8" t="s">
        <v>22</v>
      </c>
      <c r="D4" s="8" t="s">
        <v>104</v>
      </c>
      <c r="E4" s="8" t="s">
        <v>105</v>
      </c>
      <c r="F4" s="8" t="s">
        <v>106</v>
      </c>
      <c r="G4" s="8" t="s">
        <v>107</v>
      </c>
      <c r="H4" s="8" t="s">
        <v>108</v>
      </c>
    </row>
    <row r="5" customFormat="false" ht="22.35" hidden="false" customHeight="false" outlineLevel="0" collapsed="false">
      <c r="A5" s="9" t="s">
        <v>109</v>
      </c>
      <c r="B5" s="9" t="s">
        <v>110</v>
      </c>
      <c r="C5" s="9" t="s">
        <v>35</v>
      </c>
      <c r="D5" s="17" t="n">
        <v>42594</v>
      </c>
      <c r="E5" s="9" t="s">
        <v>111</v>
      </c>
      <c r="F5" s="9" t="s">
        <v>112</v>
      </c>
      <c r="G5" s="17" t="n">
        <v>42650</v>
      </c>
      <c r="H5" s="9" t="s">
        <v>38</v>
      </c>
    </row>
    <row r="6" customFormat="false" ht="15" hidden="false" customHeight="false" outlineLevel="0" collapsed="false">
      <c r="A6" s="13" t="s">
        <v>113</v>
      </c>
      <c r="B6" s="13" t="s">
        <v>114</v>
      </c>
      <c r="C6" s="13" t="s">
        <v>65</v>
      </c>
      <c r="D6" s="18" t="n">
        <v>42601</v>
      </c>
      <c r="E6" s="13" t="s">
        <v>115</v>
      </c>
      <c r="F6" s="13" t="s">
        <v>116</v>
      </c>
      <c r="G6" s="18" t="n">
        <v>42657</v>
      </c>
      <c r="H6" s="13" t="s">
        <v>38</v>
      </c>
    </row>
    <row r="7" customFormat="false" ht="22.35" hidden="false" customHeight="false" outlineLevel="0" collapsed="false">
      <c r="A7" s="9" t="s">
        <v>117</v>
      </c>
      <c r="B7" s="9" t="s">
        <v>118</v>
      </c>
      <c r="C7" s="9" t="s">
        <v>43</v>
      </c>
      <c r="D7" s="17" t="n">
        <v>42608</v>
      </c>
      <c r="E7" s="9" t="s">
        <v>119</v>
      </c>
      <c r="F7" s="9" t="s">
        <v>120</v>
      </c>
      <c r="G7" s="17" t="n">
        <v>42650</v>
      </c>
      <c r="H7" s="9" t="s">
        <v>38</v>
      </c>
    </row>
    <row r="8" customFormat="false" ht="22.35" hidden="false" customHeight="false" outlineLevel="0" collapsed="false">
      <c r="A8" s="13" t="s">
        <v>121</v>
      </c>
      <c r="B8" s="13" t="s">
        <v>122</v>
      </c>
      <c r="C8" s="13" t="s">
        <v>74</v>
      </c>
      <c r="D8" s="18" t="n">
        <v>42615</v>
      </c>
      <c r="E8" s="13" t="s">
        <v>123</v>
      </c>
      <c r="F8" s="13" t="s">
        <v>124</v>
      </c>
      <c r="G8" s="18" t="n">
        <v>42657</v>
      </c>
      <c r="H8" s="13" t="s">
        <v>125</v>
      </c>
    </row>
    <row r="9" customFormat="false" ht="22.35" hidden="false" customHeight="false" outlineLevel="0" collapsed="false">
      <c r="A9" s="9" t="s">
        <v>126</v>
      </c>
      <c r="B9" s="9" t="s">
        <v>127</v>
      </c>
      <c r="C9" s="9" t="s">
        <v>59</v>
      </c>
      <c r="D9" s="17" t="n">
        <v>42587</v>
      </c>
      <c r="E9" s="9" t="s">
        <v>128</v>
      </c>
      <c r="F9" s="9" t="s">
        <v>129</v>
      </c>
      <c r="G9" s="17" t="n">
        <v>42620</v>
      </c>
      <c r="H9" s="9" t="s">
        <v>125</v>
      </c>
    </row>
    <row r="10" customFormat="false" ht="15" hidden="false" customHeight="false" outlineLevel="0" collapsed="false">
      <c r="A10" s="13" t="s">
        <v>130</v>
      </c>
      <c r="B10" s="13" t="s">
        <v>131</v>
      </c>
      <c r="C10" s="13" t="s">
        <v>87</v>
      </c>
      <c r="D10" s="18" t="n">
        <v>42620</v>
      </c>
      <c r="E10" s="13" t="s">
        <v>132</v>
      </c>
      <c r="F10" s="13" t="s">
        <v>133</v>
      </c>
      <c r="G10" s="18" t="n">
        <v>42664</v>
      </c>
      <c r="H10" s="1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54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8"/>
  </cols>
  <sheetData>
    <row r="1" customFormat="false" ht="16.1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30" hidden="false" customHeight="true" outlineLevel="0" collapsed="false">
      <c r="A4" s="8" t="s">
        <v>136</v>
      </c>
      <c r="B4" s="8" t="s">
        <v>137</v>
      </c>
      <c r="C4" s="8" t="s">
        <v>138</v>
      </c>
      <c r="D4" s="8" t="s">
        <v>139</v>
      </c>
      <c r="E4" s="8" t="s">
        <v>22</v>
      </c>
      <c r="F4" s="8" t="s">
        <v>23</v>
      </c>
      <c r="G4" s="8" t="s">
        <v>26</v>
      </c>
      <c r="H4" s="8" t="s">
        <v>140</v>
      </c>
      <c r="I4" s="8" t="s">
        <v>141</v>
      </c>
      <c r="J4" s="8" t="s">
        <v>142</v>
      </c>
      <c r="K4" s="8" t="s">
        <v>30</v>
      </c>
      <c r="L4" s="8" t="s">
        <v>32</v>
      </c>
    </row>
    <row r="5" customFormat="false" ht="22.35" hidden="false" customHeight="false" outlineLevel="0" collapsed="false">
      <c r="A5" s="9" t="s">
        <v>143</v>
      </c>
      <c r="B5" s="9" t="s">
        <v>144</v>
      </c>
      <c r="C5" s="9" t="s">
        <v>47</v>
      </c>
      <c r="D5" s="17" t="n">
        <v>42635</v>
      </c>
      <c r="E5" s="9" t="s">
        <v>35</v>
      </c>
      <c r="F5" s="9" t="s">
        <v>49</v>
      </c>
      <c r="G5" s="19" t="s">
        <v>145</v>
      </c>
      <c r="H5" s="9" t="s">
        <v>146</v>
      </c>
      <c r="I5" s="9" t="s">
        <v>147</v>
      </c>
      <c r="J5" s="17" t="n">
        <v>42648</v>
      </c>
      <c r="K5" s="9" t="s">
        <v>51</v>
      </c>
      <c r="L5" s="9" t="s">
        <v>46</v>
      </c>
    </row>
    <row r="6" customFormat="false" ht="22.35" hidden="false" customHeight="false" outlineLevel="0" collapsed="false">
      <c r="A6" s="13" t="s">
        <v>148</v>
      </c>
      <c r="B6" s="13" t="s">
        <v>149</v>
      </c>
      <c r="C6" s="13" t="s">
        <v>63</v>
      </c>
      <c r="D6" s="18" t="n">
        <v>42639</v>
      </c>
      <c r="E6" s="13" t="s">
        <v>65</v>
      </c>
      <c r="F6" s="13" t="s">
        <v>66</v>
      </c>
      <c r="G6" s="20" t="s">
        <v>145</v>
      </c>
      <c r="H6" s="13" t="s">
        <v>150</v>
      </c>
      <c r="I6" s="13" t="s">
        <v>151</v>
      </c>
      <c r="J6" s="18" t="n">
        <v>42646</v>
      </c>
      <c r="K6" s="13" t="s">
        <v>38</v>
      </c>
      <c r="L6" s="13" t="s">
        <v>40</v>
      </c>
    </row>
    <row r="7" customFormat="false" ht="22.35" hidden="false" customHeight="false" outlineLevel="0" collapsed="false">
      <c r="A7" s="9" t="s">
        <v>152</v>
      </c>
      <c r="B7" s="9" t="s">
        <v>153</v>
      </c>
      <c r="C7" s="9" t="s">
        <v>154</v>
      </c>
      <c r="D7" s="17" t="n">
        <v>42628</v>
      </c>
      <c r="E7" s="9" t="s">
        <v>87</v>
      </c>
      <c r="F7" s="9" t="s">
        <v>155</v>
      </c>
      <c r="G7" s="21" t="s">
        <v>156</v>
      </c>
      <c r="H7" s="9" t="s">
        <v>157</v>
      </c>
      <c r="I7" s="9" t="s">
        <v>158</v>
      </c>
      <c r="J7" s="17" t="n">
        <v>42641</v>
      </c>
      <c r="K7" s="9" t="s">
        <v>159</v>
      </c>
      <c r="L7" s="9"/>
    </row>
    <row r="8" customFormat="false" ht="22.35" hidden="false" customHeight="false" outlineLevel="0" collapsed="false">
      <c r="A8" s="13" t="s">
        <v>160</v>
      </c>
      <c r="B8" s="13" t="s">
        <v>161</v>
      </c>
      <c r="C8" s="13" t="s">
        <v>77</v>
      </c>
      <c r="D8" s="18" t="n">
        <v>42632</v>
      </c>
      <c r="E8" s="13" t="s">
        <v>59</v>
      </c>
      <c r="F8" s="13" t="s">
        <v>60</v>
      </c>
      <c r="G8" s="22" t="s">
        <v>156</v>
      </c>
      <c r="H8" s="13" t="s">
        <v>162</v>
      </c>
      <c r="I8" s="13" t="s">
        <v>163</v>
      </c>
      <c r="J8" s="18" t="n">
        <v>42639</v>
      </c>
      <c r="K8" s="13" t="s">
        <v>159</v>
      </c>
      <c r="L8" s="13"/>
    </row>
    <row r="9" customFormat="false" ht="22.35" hidden="false" customHeight="false" outlineLevel="0" collapsed="false">
      <c r="A9" s="9" t="s">
        <v>164</v>
      </c>
      <c r="B9" s="9" t="s">
        <v>165</v>
      </c>
      <c r="C9" s="9" t="s">
        <v>154</v>
      </c>
      <c r="D9" s="17" t="n">
        <v>42633</v>
      </c>
      <c r="E9" s="9" t="s">
        <v>43</v>
      </c>
      <c r="F9" s="9" t="s">
        <v>70</v>
      </c>
      <c r="G9" s="9" t="s">
        <v>166</v>
      </c>
      <c r="H9" s="9" t="s">
        <v>167</v>
      </c>
      <c r="I9" s="9" t="s">
        <v>168</v>
      </c>
      <c r="J9" s="17" t="n">
        <v>42643</v>
      </c>
      <c r="K9" s="9" t="s">
        <v>51</v>
      </c>
      <c r="L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9"/>
    <col collapsed="false" customWidth="true" hidden="false" outlineLevel="0" max="10" min="10" style="0" width="13"/>
  </cols>
  <sheetData>
    <row r="1" customFormat="false" ht="16.1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</row>
    <row r="4" customFormat="false" ht="30" hidden="false" customHeight="true" outlineLevel="0" collapsed="false">
      <c r="A4" s="8" t="s">
        <v>171</v>
      </c>
      <c r="B4" s="8" t="s">
        <v>172</v>
      </c>
      <c r="C4" s="8" t="s">
        <v>173</v>
      </c>
      <c r="D4" s="8" t="s">
        <v>174</v>
      </c>
      <c r="E4" s="8" t="s">
        <v>175</v>
      </c>
      <c r="F4" s="8" t="s">
        <v>176</v>
      </c>
      <c r="G4" s="8" t="s">
        <v>177</v>
      </c>
      <c r="H4" s="8" t="s">
        <v>178</v>
      </c>
      <c r="I4" s="8" t="s">
        <v>179</v>
      </c>
      <c r="J4" s="8" t="s">
        <v>30</v>
      </c>
    </row>
    <row r="5" customFormat="false" ht="15" hidden="false" customHeight="false" outlineLevel="0" collapsed="false">
      <c r="A5" s="9" t="s">
        <v>180</v>
      </c>
      <c r="B5" s="9" t="s">
        <v>181</v>
      </c>
      <c r="C5" s="9" t="s">
        <v>65</v>
      </c>
      <c r="D5" s="9" t="s">
        <v>66</v>
      </c>
      <c r="E5" s="9" t="s">
        <v>87</v>
      </c>
      <c r="F5" s="9" t="s">
        <v>88</v>
      </c>
      <c r="G5" s="17" t="n">
        <v>42655</v>
      </c>
      <c r="H5" s="9" t="s">
        <v>182</v>
      </c>
      <c r="I5" s="9" t="s">
        <v>183</v>
      </c>
      <c r="J5" s="21" t="s">
        <v>184</v>
      </c>
    </row>
    <row r="6" customFormat="false" ht="15" hidden="false" customHeight="false" outlineLevel="0" collapsed="false">
      <c r="A6" s="13" t="s">
        <v>185</v>
      </c>
      <c r="B6" s="13" t="s">
        <v>186</v>
      </c>
      <c r="C6" s="13" t="s">
        <v>35</v>
      </c>
      <c r="D6" s="13" t="s">
        <v>36</v>
      </c>
      <c r="E6" s="13" t="s">
        <v>74</v>
      </c>
      <c r="F6" s="13" t="s">
        <v>75</v>
      </c>
      <c r="G6" s="18" t="n">
        <v>42646</v>
      </c>
      <c r="H6" s="13" t="s">
        <v>182</v>
      </c>
      <c r="I6" s="13" t="s">
        <v>187</v>
      </c>
      <c r="J6" s="20" t="s">
        <v>188</v>
      </c>
    </row>
    <row r="7" customFormat="false" ht="15" hidden="false" customHeight="false" outlineLevel="0" collapsed="false">
      <c r="A7" s="9" t="s">
        <v>189</v>
      </c>
      <c r="B7" s="9" t="s">
        <v>190</v>
      </c>
      <c r="C7" s="9" t="s">
        <v>43</v>
      </c>
      <c r="D7" s="9" t="s">
        <v>55</v>
      </c>
      <c r="E7" s="9" t="s">
        <v>43</v>
      </c>
      <c r="F7" s="9" t="s">
        <v>55</v>
      </c>
      <c r="G7" s="17" t="n">
        <v>42671</v>
      </c>
      <c r="H7" s="9" t="s">
        <v>182</v>
      </c>
      <c r="I7" s="9" t="s">
        <v>187</v>
      </c>
      <c r="J7" s="21" t="s">
        <v>184</v>
      </c>
    </row>
    <row r="8" customFormat="false" ht="15" hidden="false" customHeight="false" outlineLevel="0" collapsed="false">
      <c r="A8" s="13" t="s">
        <v>191</v>
      </c>
      <c r="B8" s="13" t="s">
        <v>192</v>
      </c>
      <c r="C8" s="13" t="s">
        <v>43</v>
      </c>
      <c r="D8" s="13" t="s">
        <v>55</v>
      </c>
      <c r="E8" s="13" t="s">
        <v>59</v>
      </c>
      <c r="F8" s="13" t="s">
        <v>60</v>
      </c>
      <c r="G8" s="18" t="n">
        <v>42654</v>
      </c>
      <c r="H8" s="13" t="s">
        <v>145</v>
      </c>
      <c r="I8" s="13" t="s">
        <v>187</v>
      </c>
      <c r="J8" s="13" t="s">
        <v>193</v>
      </c>
    </row>
    <row r="9" customFormat="false" ht="15" hidden="false" customHeight="false" outlineLevel="0" collapsed="false">
      <c r="A9" s="9" t="s">
        <v>194</v>
      </c>
      <c r="B9" s="9" t="s">
        <v>195</v>
      </c>
      <c r="C9" s="9" t="s">
        <v>74</v>
      </c>
      <c r="D9" s="9" t="s">
        <v>75</v>
      </c>
      <c r="E9" s="9" t="s">
        <v>74</v>
      </c>
      <c r="F9" s="9" t="s">
        <v>75</v>
      </c>
      <c r="G9" s="17" t="n">
        <v>42657</v>
      </c>
      <c r="H9" s="9" t="s">
        <v>145</v>
      </c>
      <c r="I9" s="9" t="s">
        <v>187</v>
      </c>
      <c r="J9" s="9" t="s">
        <v>193</v>
      </c>
    </row>
    <row r="10" customFormat="false" ht="15" hidden="false" customHeight="false" outlineLevel="0" collapsed="false">
      <c r="A10" s="13" t="s">
        <v>196</v>
      </c>
      <c r="B10" s="13" t="s">
        <v>197</v>
      </c>
      <c r="C10" s="13" t="s">
        <v>82</v>
      </c>
      <c r="D10" s="13" t="s">
        <v>83</v>
      </c>
      <c r="E10" s="13" t="s">
        <v>82</v>
      </c>
      <c r="F10" s="13" t="s">
        <v>83</v>
      </c>
      <c r="G10" s="18" t="n">
        <v>42664</v>
      </c>
      <c r="H10" s="13" t="s">
        <v>156</v>
      </c>
      <c r="I10" s="13" t="s">
        <v>187</v>
      </c>
      <c r="J10" s="13" t="s">
        <v>193</v>
      </c>
    </row>
    <row r="11" customFormat="false" ht="15" hidden="false" customHeight="false" outlineLevel="0" collapsed="false">
      <c r="A11" s="9" t="s">
        <v>198</v>
      </c>
      <c r="B11" s="9" t="s">
        <v>199</v>
      </c>
      <c r="C11" s="9" t="s">
        <v>65</v>
      </c>
      <c r="D11" s="9" t="s">
        <v>66</v>
      </c>
      <c r="E11" s="9" t="s">
        <v>65</v>
      </c>
      <c r="F11" s="9" t="s">
        <v>66</v>
      </c>
      <c r="G11" s="17" t="n">
        <v>42655</v>
      </c>
      <c r="H11" s="9" t="s">
        <v>145</v>
      </c>
      <c r="I11" s="9" t="s">
        <v>183</v>
      </c>
      <c r="J11" s="21" t="s">
        <v>184</v>
      </c>
    </row>
    <row r="12" customFormat="false" ht="15" hidden="false" customHeight="false" outlineLevel="0" collapsed="false">
      <c r="A12" s="13" t="s">
        <v>200</v>
      </c>
      <c r="B12" s="13" t="s">
        <v>201</v>
      </c>
      <c r="C12" s="13" t="s">
        <v>59</v>
      </c>
      <c r="D12" s="13" t="s">
        <v>60</v>
      </c>
      <c r="E12" s="13" t="s">
        <v>59</v>
      </c>
      <c r="F12" s="13" t="s">
        <v>60</v>
      </c>
      <c r="G12" s="18" t="n">
        <v>42654</v>
      </c>
      <c r="H12" s="13" t="s">
        <v>145</v>
      </c>
      <c r="I12" s="13" t="s">
        <v>187</v>
      </c>
      <c r="J12" s="13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15" hidden="false" customHeight="false" outlineLevel="0" collapsed="false">
      <c r="A4" s="3" t="s">
        <v>204</v>
      </c>
    </row>
    <row r="5" customFormat="false" ht="30" hidden="false" customHeight="true" outlineLevel="0" collapsed="false">
      <c r="A5" s="8" t="s">
        <v>27</v>
      </c>
      <c r="B5" s="8" t="s">
        <v>205</v>
      </c>
      <c r="C5" s="8" t="s">
        <v>206</v>
      </c>
    </row>
    <row r="6" customFormat="false" ht="15" hidden="false" customHeight="false" outlineLevel="0" collapsed="false">
      <c r="A6" s="23" t="s">
        <v>166</v>
      </c>
      <c r="B6" s="24" t="n">
        <f aca="false">COUNTIF(Risks!$H$5:$H$18,$A6)</f>
        <v>2</v>
      </c>
      <c r="C6" s="25" t="n">
        <f aca="false">IFERROR($B6/$B$10,"")</f>
        <v>0.142857142857143</v>
      </c>
    </row>
    <row r="7" customFormat="false" ht="15" hidden="false" customHeight="false" outlineLevel="0" collapsed="false">
      <c r="A7" s="23" t="s">
        <v>156</v>
      </c>
      <c r="B7" s="24" t="n">
        <f aca="false">COUNTIF(Risks!$H$5:$H$18,$A7)</f>
        <v>9</v>
      </c>
      <c r="C7" s="25" t="n">
        <f aca="false">IFERROR($B7/$B$10,"")</f>
        <v>0.642857142857143</v>
      </c>
    </row>
    <row r="8" customFormat="false" ht="15" hidden="false" customHeight="false" outlineLevel="0" collapsed="false">
      <c r="A8" s="23" t="s">
        <v>145</v>
      </c>
      <c r="B8" s="24" t="n">
        <f aca="false">COUNTIF(Risks!$H$5:$H$18,$A8)</f>
        <v>3</v>
      </c>
      <c r="C8" s="25" t="n">
        <f aca="false">IFERROR($B8/$B$10,"")</f>
        <v>0.214285714285714</v>
      </c>
    </row>
    <row r="9" customFormat="false" ht="15" hidden="false" customHeight="false" outlineLevel="0" collapsed="false">
      <c r="A9" s="23" t="s">
        <v>182</v>
      </c>
      <c r="B9" s="24" t="n">
        <f aca="false">COUNTIF(Risks!$H$5:$H$18,$A9)</f>
        <v>0</v>
      </c>
      <c r="C9" s="25" t="n">
        <f aca="false">IFERROR($B9/$B$10,"")</f>
        <v>0</v>
      </c>
    </row>
    <row r="10" customFormat="false" ht="15" hidden="false" customHeight="false" outlineLevel="0" collapsed="false">
      <c r="A10" s="26" t="s">
        <v>207</v>
      </c>
      <c r="B10" s="27" t="n">
        <f aca="false">SUM($B$6:$B$9)</f>
        <v>14</v>
      </c>
    </row>
    <row r="12" customFormat="false" ht="15" hidden="false" customHeight="false" outlineLevel="0" collapsed="false">
      <c r="A12" s="3" t="s">
        <v>208</v>
      </c>
    </row>
    <row r="13" customFormat="false" ht="15" hidden="false" customHeight="false" outlineLevel="0" collapsed="false">
      <c r="A13" s="23" t="s">
        <v>209</v>
      </c>
      <c r="B13" s="24" t="n">
        <f aca="false">COUNTIF(Risks!$K$5:$K$18,"Open")+COUNTIF(Risks!$K$5:$K$18,"In progress")</f>
        <v>14</v>
      </c>
    </row>
    <row r="14" customFormat="false" ht="15" hidden="false" customHeight="false" outlineLevel="0" collapsed="false">
      <c r="A14" s="23" t="s">
        <v>210</v>
      </c>
      <c r="B14" s="24" t="n">
        <f aca="false">COUNTIF(Risks!$G$5:$G$18,"&gt;=15")</f>
        <v>3</v>
      </c>
    </row>
    <row r="15" customFormat="false" ht="15" hidden="false" customHeight="false" outlineLevel="0" collapsed="false">
      <c r="A15" s="23" t="s">
        <v>211</v>
      </c>
      <c r="B15" s="24" t="n">
        <f aca="false">COUNTIF(Risks!$M$5:$M$18,"Steering Committee")+COUNTIF(Risks!$M$5:$M$18,"VCIO")</f>
        <v>6</v>
      </c>
    </row>
    <row r="16" customFormat="false" ht="15" hidden="false" customHeight="false" outlineLevel="0" collapsed="false">
      <c r="A16" s="23" t="s">
        <v>212</v>
      </c>
      <c r="B16" s="24" t="n">
        <f aca="false">COUNTIF(Assumptions!$H$5:$H$10,"Open")</f>
        <v>4</v>
      </c>
    </row>
    <row r="17" customFormat="false" ht="15" hidden="false" customHeight="false" outlineLevel="0" collapsed="false">
      <c r="A17" s="23" t="s">
        <v>213</v>
      </c>
      <c r="B17" s="24" t="n">
        <f aca="false">COUNTIF(Issues!$K$5:$K$9,"Open")+COUNTIF(Issues!$K$5:$K$9,"In progress")</f>
        <v>3</v>
      </c>
    </row>
    <row r="18" customFormat="false" ht="15" hidden="false" customHeight="false" outlineLevel="0" collapsed="false">
      <c r="A18" s="23" t="s">
        <v>214</v>
      </c>
      <c r="B18" s="24" t="n">
        <f aca="false">COUNTIF(Dependencies!$J$5:$J$12,"At risk")+COUNTIF(Dependencies!$J$5:$J$12,"Delayed")</f>
        <v>4</v>
      </c>
    </row>
    <row r="19" customFormat="false" ht="15" hidden="false" customHeight="false" outlineLevel="0" collapsed="false">
      <c r="A19" s="23" t="s">
        <v>215</v>
      </c>
      <c r="B19" s="24" t="n">
        <f aca="false">COUNTIFS(Dependencies!$H$5:$H$12,"Critical",Dependencies!$I$5:$I$12,"No")+COUNTIFS(Dependencies!$H$5:$H$12,"High",Dependencies!$I$5:$I$12,"No")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2026-07-30T14:55:32Z</dcterms:created>
  <dc:creator>openpyxl</dc:creator>
  <dc:description/>
  <dc:language>en-US</dc:language>
  <cp:lastModifiedBy/>
  <dcterms:modified xsi:type="dcterms:W3CDTF">2026-07-30T14:55:32Z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