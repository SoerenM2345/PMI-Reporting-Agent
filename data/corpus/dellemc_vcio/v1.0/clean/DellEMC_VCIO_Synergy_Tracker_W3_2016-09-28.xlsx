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Baseline" sheetId="2" state="visible" r:id="rId4"/>
    <sheet name="Synergy Register" sheetId="3" state="visible" r:id="rId5"/>
    <sheet name="Phasing" sheetId="4" state="visible" r:id="rId6"/>
    <sheet name="Cost to Achieve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<sst xmlns="http://schemas.openxmlformats.org/spreadsheetml/2006/main" count="389" uniqueCount="215">
  <si>
    <t xml:space="preserve">Dell Technologies Integration - Value Creation Integration Office (VCIO)</t>
  </si>
  <si>
    <t xml:space="preserve">Dell Inc. and EMC Corporation  |  Reporting week W3 (26 - 30 September 2016)  |  Day 22 after Day 1  |  Close 7 September 2016</t>
  </si>
  <si>
    <t xml:space="preserve">How to use this workbook</t>
  </si>
  <si>
    <t xml:space="preserve">1. Baseline is locked and read only. It was signed off before Day 1.</t>
  </si>
  <si>
    <t xml:space="preserve">2. Synergy Register: one row per initiative. Target, secured and realised are entered per initiative, never at bucket level.</t>
  </si>
  <si>
    <t xml:space="preserve">3. Only Finance-validated initiatives count towards the reportable secured figure, per Steering Committee decision B-06.</t>
  </si>
  <si>
    <t xml:space="preserve">4. Phasing carries the in-year effect for the current financial year and cross-checks back to the register.</t>
  </si>
  <si>
    <t xml:space="preserve">5. Summary rolls up by bucket and reconciles to the deal model. No input.</t>
  </si>
  <si>
    <t xml:space="preserve">Conventions and assumptions</t>
  </si>
  <si>
    <t xml:space="preserve">Reporting week W3 (26 - 30 September 2016), day 22 after Day 1.</t>
  </si>
  <si>
    <t xml:space="preserve">All amounts in USD million unless the column header says otherwise.</t>
  </si>
  <si>
    <t xml:space="preserve">Run-rate is the annualised effect once fully implemented. In-year is the effect landing in the current financial year.</t>
  </si>
  <si>
    <t xml:space="preserve">Baseline source: synergy baseline sign-off dated 2 September 2016, locked.</t>
  </si>
  <si>
    <t xml:space="preserve">Revenue synergies are designed at roughly three times cost synergies, consistent with the ratio management stated publicly at announcement. The absolute values are synthetic.</t>
  </si>
  <si>
    <t xml:space="preserve">Where this file and a status deck disagree, the Finance-validated figure here governs.</t>
  </si>
  <si>
    <t xml:space="preserve">Sources for the case anchoring</t>
  </si>
  <si>
    <t xml:space="preserve">EMC Corp, Form 8-K Exhibit 99.1, filed 7 September 2016 (SEC EDGAR)</t>
  </si>
  <si>
    <t xml:space="preserve">Deloitte Global, 'Dell, EMC, and Deloitte create the next tech icon: a technology M&amp;A case study', deloitte.com</t>
  </si>
  <si>
    <t xml:space="preserve">Dell Technologies press release, 7 September 2016</t>
  </si>
  <si>
    <t xml:space="preserve">Synthetic workbook. All operational names, figures, risks and synergy values are invented and internally consistent; they are not a representation of what any party actually did.</t>
  </si>
  <si>
    <t xml:space="preserve">Locked Financial Baseline</t>
  </si>
  <si>
    <t xml:space="preserve">Baseline as at Day 1 (7 September 2016)  |  signed off 2 September 2016  |  do not edit</t>
  </si>
  <si>
    <t xml:space="preserve">Baseline ID</t>
  </si>
  <si>
    <t xml:space="preserve">Line item</t>
  </si>
  <si>
    <t xml:space="preserve">Entity</t>
  </si>
  <si>
    <t xml:space="preserve">Cost category</t>
  </si>
  <si>
    <t xml:space="preserve">FY16 actual (USD m)</t>
  </si>
  <si>
    <t xml:space="preserve">FY17 budget (USD m)</t>
  </si>
  <si>
    <t xml:space="preserve">Source document</t>
  </si>
  <si>
    <t xml:space="preserve">BL-01</t>
  </si>
  <si>
    <t xml:space="preserve">External IT maintenance and software licences</t>
  </si>
  <si>
    <t xml:space="preserve">EMC Corporation</t>
  </si>
  <si>
    <t xml:space="preserve">IT cost</t>
  </si>
  <si>
    <t xml:space="preserve">Target FY16 statutory accounts, note 14</t>
  </si>
  <si>
    <t xml:space="preserve">BL-02</t>
  </si>
  <si>
    <t xml:space="preserve">Data centre hosting and co-location</t>
  </si>
  <si>
    <t xml:space="preserve">BL-03</t>
  </si>
  <si>
    <t xml:space="preserve">Indirect procurement, addressable spend</t>
  </si>
  <si>
    <t xml:space="preserve">Combined</t>
  </si>
  <si>
    <t xml:space="preserve">Procurement</t>
  </si>
  <si>
    <t xml:space="preserve">Combined spend cube, wave 1 extract</t>
  </si>
  <si>
    <t xml:space="preserve">BL-04</t>
  </si>
  <si>
    <t xml:space="preserve">Logistics and freight</t>
  </si>
  <si>
    <t xml:space="preserve">BL-05</t>
  </si>
  <si>
    <t xml:space="preserve">Component sourcing, addressable bill of materials</t>
  </si>
  <si>
    <t xml:space="preserve">BL-06</t>
  </si>
  <si>
    <t xml:space="preserve">Corporate and shared service personnel cost</t>
  </si>
  <si>
    <t xml:space="preserve">Personnel</t>
  </si>
  <si>
    <t xml:space="preserve">Combined FY17 operating plan</t>
  </si>
  <si>
    <t xml:space="preserve">BL-07</t>
  </si>
  <si>
    <t xml:space="preserve">Sales compensation, plan cost</t>
  </si>
  <si>
    <t xml:space="preserve">BL-08</t>
  </si>
  <si>
    <t xml:space="preserve">Property lease and facilities cost</t>
  </si>
  <si>
    <t xml:space="preserve">Footprint</t>
  </si>
  <si>
    <t xml:space="preserve">Combined lease register, September 2016</t>
  </si>
  <si>
    <t xml:space="preserve">BL-09</t>
  </si>
  <si>
    <t xml:space="preserve">Warehouse and distribution operating cost</t>
  </si>
  <si>
    <t xml:space="preserve">Operations</t>
  </si>
  <si>
    <t xml:space="preserve">BL-10</t>
  </si>
  <si>
    <t xml:space="preserve">Marketing and events</t>
  </si>
  <si>
    <t xml:space="preserve">Synergy Register</t>
  </si>
  <si>
    <t xml:space="preserve">One row per initiative  |  16 initiatives  |  status 28 September 2016  |  target USD 7,252 m run-rate</t>
  </si>
  <si>
    <t xml:space="preserve">Initiative ID</t>
  </si>
  <si>
    <t xml:space="preserve">Initiative</t>
  </si>
  <si>
    <t xml:space="preserve">Bucket</t>
  </si>
  <si>
    <t xml:space="preserve">Type</t>
  </si>
  <si>
    <t xml:space="preserve">Workstream</t>
  </si>
  <si>
    <t xml:space="preserve">Owner</t>
  </si>
  <si>
    <t xml:space="preserve">Target run-rate (USD m)</t>
  </si>
  <si>
    <t xml:space="preserve">Secured run-rate (USD m)</t>
  </si>
  <si>
    <t xml:space="preserve">Realised to date (USD m)</t>
  </si>
  <si>
    <t xml:space="preserve">Secured %</t>
  </si>
  <si>
    <t xml:space="preserve">FY17 in-year (USD m)</t>
  </si>
  <si>
    <t xml:space="preserve">Cost to achieve (USD m)</t>
  </si>
  <si>
    <t xml:space="preserve">Status</t>
  </si>
  <si>
    <t xml:space="preserve">Finance validated</t>
  </si>
  <si>
    <t xml:space="preserve">S-01</t>
  </si>
  <si>
    <t xml:space="preserve">Consolidate indirect procurement onto combined contracts</t>
  </si>
  <si>
    <t xml:space="preserve">Cost</t>
  </si>
  <si>
    <t xml:space="preserve">WS5 Supply Chain</t>
  </si>
  <si>
    <t xml:space="preserve">K. Matsuda</t>
  </si>
  <si>
    <t xml:space="preserve">In progress</t>
  </si>
  <si>
    <t xml:space="preserve">Yes</t>
  </si>
  <si>
    <t xml:space="preserve">S-02</t>
  </si>
  <si>
    <t xml:space="preserve">Renegotiate logistics and freight with the top 12 providers</t>
  </si>
  <si>
    <t xml:space="preserve">S-03</t>
  </si>
  <si>
    <t xml:space="preserve">Consolidate component sourcing across the combined bill of materials</t>
  </si>
  <si>
    <t xml:space="preserve">Approved</t>
  </si>
  <si>
    <t xml:space="preserve">No</t>
  </si>
  <si>
    <t xml:space="preserve">S-04</t>
  </si>
  <si>
    <t xml:space="preserve">Rationalise overlapping enterprise software licences</t>
  </si>
  <si>
    <t xml:space="preserve">WS3 IT</t>
  </si>
  <si>
    <t xml:space="preserve">T. Bergström</t>
  </si>
  <si>
    <t xml:space="preserve">S-05</t>
  </si>
  <si>
    <t xml:space="preserve">Consolidate data centre footprint and hosting contracts</t>
  </si>
  <si>
    <t xml:space="preserve">S-06</t>
  </si>
  <si>
    <t xml:space="preserve">Merge service desk and IT operations tooling</t>
  </si>
  <si>
    <t xml:space="preserve">Business case</t>
  </si>
  <si>
    <t xml:space="preserve">S-07</t>
  </si>
  <si>
    <t xml:space="preserve">Remove duplicated corporate and shared service functions</t>
  </si>
  <si>
    <t xml:space="preserve">WS4 Human Capital</t>
  </si>
  <si>
    <t xml:space="preserve">J. Adeyemi</t>
  </si>
  <si>
    <t xml:space="preserve">S-08</t>
  </si>
  <si>
    <t xml:space="preserve">Harmonise sales compensation and reduce plan complexity</t>
  </si>
  <si>
    <t xml:space="preserve">S-09</t>
  </si>
  <si>
    <t xml:space="preserve">Consolidate offices where both groups hold leases in one city</t>
  </si>
  <si>
    <t xml:space="preserve">WS7 Real Estate</t>
  </si>
  <si>
    <t xml:space="preserve">F. Ricciardi</t>
  </si>
  <si>
    <t xml:space="preserve">S-10</t>
  </si>
  <si>
    <t xml:space="preserve">Consolidate warehouse and distribution network in EMEA and APJ</t>
  </si>
  <si>
    <t xml:space="preserve">S-11</t>
  </si>
  <si>
    <t xml:space="preserve">Rationalise marketing spend and event portfolio</t>
  </si>
  <si>
    <t xml:space="preserve">WS6 Go-to-Market</t>
  </si>
  <si>
    <t xml:space="preserve">L. Kowalczyk</t>
  </si>
  <si>
    <t xml:space="preserve">S-12</t>
  </si>
  <si>
    <t xml:space="preserve">Cross-sell infrastructure portfolio into the client installed base</t>
  </si>
  <si>
    <t xml:space="preserve">Revenue cross-sell</t>
  </si>
  <si>
    <t xml:space="preserve">Revenue</t>
  </si>
  <si>
    <t xml:space="preserve">S-13</t>
  </si>
  <si>
    <t xml:space="preserve">Cross-sell client portfolio into the enterprise installed base</t>
  </si>
  <si>
    <t xml:space="preserve">S-14</t>
  </si>
  <si>
    <t xml:space="preserve">Attach services and support to the combined portfolio</t>
  </si>
  <si>
    <t xml:space="preserve">S-15</t>
  </si>
  <si>
    <t xml:space="preserve">Extend mid-market coverage using the combined field</t>
  </si>
  <si>
    <t xml:space="preserve">Revenue pricing</t>
  </si>
  <si>
    <t xml:space="preserve">S-16</t>
  </si>
  <si>
    <t xml:space="preserve">Harmonise discount governance across the combined portfolio</t>
  </si>
  <si>
    <t xml:space="preserve">R. Whitfield</t>
  </si>
  <si>
    <t xml:space="preserve">Total</t>
  </si>
  <si>
    <t xml:space="preserve">In-Year Phasing, current financial year</t>
  </si>
  <si>
    <t xml:space="preserve">Monthly in-year effect per initiative in USD million, cross-checked against the register</t>
  </si>
  <si>
    <t xml:space="preserve">Sep 16</t>
  </si>
  <si>
    <t xml:space="preserve">Oct 16</t>
  </si>
  <si>
    <t xml:space="preserve">Nov 16</t>
  </si>
  <si>
    <t xml:space="preserve">Dec 16</t>
  </si>
  <si>
    <t xml:space="preserve">Jan 17</t>
  </si>
  <si>
    <t xml:space="preserve">Feb 17</t>
  </si>
  <si>
    <t xml:space="preserve">Check vs. register</t>
  </si>
  <si>
    <t xml:space="preserve">Consolidate indirect procurement onto combined con</t>
  </si>
  <si>
    <t xml:space="preserve">Renegotiate logistics and freight with the top 12 </t>
  </si>
  <si>
    <t xml:space="preserve">Consolidate component sourcing across the combined</t>
  </si>
  <si>
    <t xml:space="preserve">Rationalise overlapping enterprise software licenc</t>
  </si>
  <si>
    <t xml:space="preserve">Consolidate data centre footprint and hosting cont</t>
  </si>
  <si>
    <t xml:space="preserve">Remove duplicated corporate and shared service fun</t>
  </si>
  <si>
    <t xml:space="preserve">Harmonise sales compensation and reduce plan compl</t>
  </si>
  <si>
    <t xml:space="preserve">Consolidate offices where both groups hold leases </t>
  </si>
  <si>
    <t xml:space="preserve">Consolidate warehouse and distribution network in </t>
  </si>
  <si>
    <t xml:space="preserve">Cross-sell infrastructure portfolio into the clien</t>
  </si>
  <si>
    <t xml:space="preserve">Cross-sell client portfolio into the enterprise in</t>
  </si>
  <si>
    <t xml:space="preserve">Attach services and support to the combined portfo</t>
  </si>
  <si>
    <t xml:space="preserve">Extend mid-market coverage using the combined fiel</t>
  </si>
  <si>
    <t xml:space="preserve">Harmonise discount governance across the combined </t>
  </si>
  <si>
    <t xml:space="preserve">Total in-year effect</t>
  </si>
  <si>
    <t xml:space="preserve">Cost to Achieve</t>
  </si>
  <si>
    <t xml:space="preserve">One-off cost required to deliver each initiative  |  total USD 565 m</t>
  </si>
  <si>
    <t xml:space="preserve">CTA ID</t>
  </si>
  <si>
    <t xml:space="preserve">Cost item</t>
  </si>
  <si>
    <t xml:space="preserve">Cost type</t>
  </si>
  <si>
    <t xml:space="preserve">Budgeted (USD m)</t>
  </si>
  <si>
    <t xml:space="preserve">Committed (USD m)</t>
  </si>
  <si>
    <t xml:space="preserve">Spent (USD m)</t>
  </si>
  <si>
    <t xml:space="preserve">Remaining (USD m)</t>
  </si>
  <si>
    <t xml:space="preserve">CTA-01</t>
  </si>
  <si>
    <t xml:space="preserve">Delivery cost for Consolidate indirect procurement onto combined</t>
  </si>
  <si>
    <t xml:space="preserve">Internal effort</t>
  </si>
  <si>
    <t xml:space="preserve">CTA-02</t>
  </si>
  <si>
    <t xml:space="preserve">Delivery cost for Renegotiate logistics and freight with the top</t>
  </si>
  <si>
    <t xml:space="preserve">CTA-03</t>
  </si>
  <si>
    <t xml:space="preserve">Delivery cost for Consolidate component sourcing across the comb</t>
  </si>
  <si>
    <t xml:space="preserve">CTA-04</t>
  </si>
  <si>
    <t xml:space="preserve">Delivery cost for Rationalise overlapping enterprise software li</t>
  </si>
  <si>
    <t xml:space="preserve">External advisory</t>
  </si>
  <si>
    <t xml:space="preserve">CTA-05</t>
  </si>
  <si>
    <t xml:space="preserve">Delivery cost for Consolidate data centre footprint and hosting </t>
  </si>
  <si>
    <t xml:space="preserve">CTA-06</t>
  </si>
  <si>
    <t xml:space="preserve">Delivery cost for Merge service desk and IT operations tooling</t>
  </si>
  <si>
    <t xml:space="preserve">CTA-07</t>
  </si>
  <si>
    <t xml:space="preserve">Delivery cost for Remove duplicated corporate and shared service</t>
  </si>
  <si>
    <t xml:space="preserve">Severance</t>
  </si>
  <si>
    <t xml:space="preserve">CTA-08</t>
  </si>
  <si>
    <t xml:space="preserve">Delivery cost for Harmonise sales compensation and reduce plan c</t>
  </si>
  <si>
    <t xml:space="preserve">CTA-09</t>
  </si>
  <si>
    <t xml:space="preserve">Delivery cost for Consolidate offices where both groups hold lea</t>
  </si>
  <si>
    <t xml:space="preserve">Site exit</t>
  </si>
  <si>
    <t xml:space="preserve">CTA-10</t>
  </si>
  <si>
    <t xml:space="preserve">Delivery cost for Consolidate warehouse and distribution network</t>
  </si>
  <si>
    <t xml:space="preserve">CTA-11</t>
  </si>
  <si>
    <t xml:space="preserve">Delivery cost for Rationalise marketing spend and event portfoli</t>
  </si>
  <si>
    <t xml:space="preserve">CTA-12</t>
  </si>
  <si>
    <t xml:space="preserve">Delivery cost for Cross-sell infrastructure portfolio into the c</t>
  </si>
  <si>
    <t xml:space="preserve">Enablement</t>
  </si>
  <si>
    <t xml:space="preserve">CTA-13</t>
  </si>
  <si>
    <t xml:space="preserve">Delivery cost for Cross-sell client portfolio into the enterpris</t>
  </si>
  <si>
    <t xml:space="preserve">CTA-14</t>
  </si>
  <si>
    <t xml:space="preserve">Delivery cost for Attach services and support to the combined po</t>
  </si>
  <si>
    <t xml:space="preserve">CTA-15</t>
  </si>
  <si>
    <t xml:space="preserve">Delivery cost for Extend mid-market coverage using the combined </t>
  </si>
  <si>
    <t xml:space="preserve">CTA-16</t>
  </si>
  <si>
    <t xml:space="preserve">Delivery cost for Harmonise discount governance across the combi</t>
  </si>
  <si>
    <t xml:space="preserve">Synergy Summary by Bucket</t>
  </si>
  <si>
    <t xml:space="preserve">Calculates automatically from the register and the cost to achieve tab. No input.</t>
  </si>
  <si>
    <t xml:space="preserve">Initiatives</t>
  </si>
  <si>
    <t xml:space="preserve">Target (USD m)</t>
  </si>
  <si>
    <t xml:space="preserve">Secured (USD m)</t>
  </si>
  <si>
    <t xml:space="preserve">Reconciliation to the deal model</t>
  </si>
  <si>
    <t xml:space="preserve">Deal model target (USD m run-rate)</t>
  </si>
  <si>
    <t xml:space="preserve">Total target in register (USD m)</t>
  </si>
  <si>
    <t xml:space="preserve">Gap to deal model (USD m)</t>
  </si>
  <si>
    <t xml:space="preserve">Secured, all initiatives (USD m)</t>
  </si>
  <si>
    <t xml:space="preserve">Secured, Finance validated only (USD m)</t>
  </si>
  <si>
    <t xml:space="preserve">Difference, not yet validated (USD m)</t>
  </si>
  <si>
    <t xml:space="preserve">Cost synergy target (USD m)</t>
  </si>
  <si>
    <t xml:space="preserve">Revenue synergy target (USD m)</t>
  </si>
  <si>
    <t xml:space="preserve">Revenue to cost ratio</t>
  </si>
  <si>
    <t xml:space="preserve">Decision B-06: only the Finance-validated figure is reported to the Steering Committee from session 02 onward.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</si>
</sst>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46A38"/>
      <name val="Arial"/>
      <family val="0"/>
      <charset val="1"/>
    </font>
    <font>
      <sz val="8.5"/>
      <color rgb="FF75787B"/>
      <name val="Arial"/>
      <family val="0"/>
      <charset val="1"/>
    </font>
    <font>
      <b val="true"/>
      <sz val="11"/>
      <color rgb="FF046A38"/>
      <name val="Arial"/>
      <family val="0"/>
      <charset val="1"/>
    </font>
    <font>
      <sz val="9"/>
      <name val="Arial"/>
      <family val="0"/>
      <charset val="1"/>
    </font>
    <font>
      <sz val="9"/>
      <color rgb="FF75787B"/>
      <name val="Arial"/>
      <family val="0"/>
      <charset val="1"/>
    </font>
    <font>
      <i val="true"/>
      <sz val="8.5"/>
      <color rgb="FF75787B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46A38"/>
        <bgColor rgb="FF008080"/>
      </patternFill>
    </fill>
    <fill>
      <patternFill patternType="solid">
        <fgColor rgb="FFF7F9F3"/>
        <bgColor rgb="FFF1F6E4"/>
      </patternFill>
    </fill>
    <fill>
      <patternFill patternType="solid">
        <fgColor rgb="FFF1F6E4"/>
        <bgColor rgb="FFF7F9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46A38"/>
      <rgbColor rgb="FF000080"/>
      <rgbColor rgb="FF808000"/>
      <rgbColor rgb="FF800080"/>
      <rgbColor rgb="FF008080"/>
      <rgbColor rgb="FFBFBFBF"/>
      <rgbColor rgb="FF75787B"/>
      <rgbColor rgb="FF9999FF"/>
      <rgbColor rgb="FF993366"/>
      <rgbColor rgb="FFF1F6E4"/>
      <rgbColor rgb="FFF7F9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5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25.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25.5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25.5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</row>
    <row r="9" customFormat="false" ht="25.5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</row>
    <row r="11" customFormat="false" ht="15" hidden="false" customHeight="false" outlineLevel="0" collapsed="false">
      <c r="A11" s="3" t="s">
        <v>8</v>
      </c>
    </row>
    <row r="12" customFormat="false" ht="25.5" hidden="false" customHeight="true" outlineLevel="0" collapsed="false">
      <c r="A12" s="5" t="s">
        <v>9</v>
      </c>
      <c r="B12" s="5"/>
      <c r="C12" s="5"/>
      <c r="D12" s="5"/>
      <c r="E12" s="5"/>
      <c r="F12" s="5"/>
      <c r="G12" s="5"/>
      <c r="H12" s="5"/>
    </row>
    <row r="13" customFormat="false" ht="25.5" hidden="false" customHeight="true" outlineLevel="0" collapsed="false">
      <c r="A13" s="5" t="s">
        <v>10</v>
      </c>
      <c r="B13" s="5"/>
      <c r="C13" s="5"/>
      <c r="D13" s="5"/>
      <c r="E13" s="5"/>
      <c r="F13" s="5"/>
      <c r="G13" s="5"/>
      <c r="H13" s="5"/>
    </row>
    <row r="14" customFormat="false" ht="25.5" hidden="false" customHeight="true" outlineLevel="0" collapsed="false">
      <c r="A14" s="5" t="s">
        <v>11</v>
      </c>
      <c r="B14" s="5"/>
      <c r="C14" s="5"/>
      <c r="D14" s="5"/>
      <c r="E14" s="5"/>
      <c r="F14" s="5"/>
      <c r="G14" s="5"/>
      <c r="H14" s="5"/>
    </row>
    <row r="15" customFormat="false" ht="25.5" hidden="false" customHeight="true" outlineLevel="0" collapsed="false">
      <c r="A15" s="5" t="s">
        <v>12</v>
      </c>
      <c r="B15" s="5"/>
      <c r="C15" s="5"/>
      <c r="D15" s="5"/>
      <c r="E15" s="5"/>
      <c r="F15" s="5"/>
      <c r="G15" s="5"/>
      <c r="H15" s="5"/>
    </row>
    <row r="16" customFormat="false" ht="25.5" hidden="false" customHeight="true" outlineLevel="0" collapsed="false">
      <c r="A16" s="5" t="s">
        <v>13</v>
      </c>
      <c r="B16" s="5"/>
      <c r="C16" s="5"/>
      <c r="D16" s="5"/>
      <c r="E16" s="5"/>
      <c r="F16" s="5"/>
      <c r="G16" s="5"/>
      <c r="H16" s="5"/>
    </row>
    <row r="17" customFormat="false" ht="25.5" hidden="false" customHeight="true" outlineLevel="0" collapsed="false">
      <c r="A17" s="5" t="s">
        <v>14</v>
      </c>
      <c r="B17" s="5"/>
      <c r="C17" s="5"/>
      <c r="D17" s="5"/>
      <c r="E17" s="5"/>
      <c r="F17" s="5"/>
      <c r="G17" s="5"/>
      <c r="H17" s="5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6" t="s">
        <v>16</v>
      </c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 t="s">
        <v>17</v>
      </c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 t="s">
        <v>18</v>
      </c>
      <c r="B22" s="6"/>
      <c r="C22" s="6"/>
      <c r="D22" s="6"/>
      <c r="E22" s="6"/>
      <c r="F22" s="6"/>
      <c r="G22" s="6"/>
      <c r="H22" s="6"/>
    </row>
    <row r="24" customFormat="false" ht="15" hidden="false" customHeight="false" outlineLevel="0" collapsed="false">
      <c r="A24" s="7" t="s">
        <v>19</v>
      </c>
      <c r="B24" s="7"/>
      <c r="C24" s="7"/>
      <c r="D24" s="7"/>
      <c r="E24" s="7"/>
      <c r="F24" s="7"/>
      <c r="G24" s="7"/>
      <c r="H24" s="7"/>
    </row>
  </sheetData>
  <mergeCells count="15">
    <mergeCell ref="A5:H5"/>
    <mergeCell ref="A6:H6"/>
    <mergeCell ref="A7:H7"/>
    <mergeCell ref="A8:H8"/>
    <mergeCell ref="A9:H9"/>
    <mergeCell ref="A12:H12"/>
    <mergeCell ref="A13:H13"/>
    <mergeCell ref="A14:H14"/>
    <mergeCell ref="A15:H15"/>
    <mergeCell ref="A16:H16"/>
    <mergeCell ref="A17:H17"/>
    <mergeCell ref="A20:H20"/>
    <mergeCell ref="A21:H21"/>
    <mergeCell ref="A22:H22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6" min="4" style="0" width="18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30" hidden="false" customHeight="true" outlineLevel="0" collapsed="false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</row>
    <row r="5" customFormat="false" ht="15" hidden="false" customHeight="false" outlineLevel="0" collapsed="false">
      <c r="A5" s="9" t="s">
        <v>29</v>
      </c>
      <c r="B5" s="9" t="s">
        <v>30</v>
      </c>
      <c r="C5" s="9" t="s">
        <v>31</v>
      </c>
      <c r="D5" s="9" t="s">
        <v>32</v>
      </c>
      <c r="E5" s="9" t="n">
        <v>1840</v>
      </c>
      <c r="F5" s="9" t="n">
        <v>1912</v>
      </c>
      <c r="G5" s="9" t="s">
        <v>33</v>
      </c>
    </row>
    <row r="6" customFormat="false" ht="15" hidden="false" customHeight="false" outlineLevel="0" collapsed="false">
      <c r="A6" s="10" t="s">
        <v>34</v>
      </c>
      <c r="B6" s="10" t="s">
        <v>35</v>
      </c>
      <c r="C6" s="10" t="s">
        <v>31</v>
      </c>
      <c r="D6" s="10" t="s">
        <v>32</v>
      </c>
      <c r="E6" s="10" t="n">
        <v>742</v>
      </c>
      <c r="F6" s="10" t="n">
        <v>768</v>
      </c>
      <c r="G6" s="10" t="s">
        <v>33</v>
      </c>
    </row>
    <row r="7" customFormat="false" ht="15" hidden="false" customHeight="false" outlineLevel="0" collapsed="false">
      <c r="A7" s="9" t="s">
        <v>36</v>
      </c>
      <c r="B7" s="9" t="s">
        <v>37</v>
      </c>
      <c r="C7" s="9" t="s">
        <v>38</v>
      </c>
      <c r="D7" s="9" t="s">
        <v>39</v>
      </c>
      <c r="E7" s="9" t="n">
        <v>4310</v>
      </c>
      <c r="F7" s="9" t="n">
        <v>4402</v>
      </c>
      <c r="G7" s="9" t="s">
        <v>40</v>
      </c>
    </row>
    <row r="8" customFormat="false" ht="15" hidden="false" customHeight="false" outlineLevel="0" collapsed="false">
      <c r="A8" s="10" t="s">
        <v>41</v>
      </c>
      <c r="B8" s="10" t="s">
        <v>42</v>
      </c>
      <c r="C8" s="10" t="s">
        <v>38</v>
      </c>
      <c r="D8" s="10" t="s">
        <v>39</v>
      </c>
      <c r="E8" s="10" t="n">
        <v>1965</v>
      </c>
      <c r="F8" s="10" t="n">
        <v>2018</v>
      </c>
      <c r="G8" s="10" t="s">
        <v>40</v>
      </c>
    </row>
    <row r="9" customFormat="false" ht="15" hidden="false" customHeight="false" outlineLevel="0" collapsed="false">
      <c r="A9" s="9" t="s">
        <v>43</v>
      </c>
      <c r="B9" s="9" t="s">
        <v>44</v>
      </c>
      <c r="C9" s="9" t="s">
        <v>38</v>
      </c>
      <c r="D9" s="9" t="s">
        <v>39</v>
      </c>
      <c r="E9" s="9" t="n">
        <v>6120</v>
      </c>
      <c r="F9" s="9" t="n">
        <v>6244</v>
      </c>
      <c r="G9" s="9" t="s">
        <v>40</v>
      </c>
    </row>
    <row r="10" customFormat="false" ht="15" hidden="false" customHeight="false" outlineLevel="0" collapsed="false">
      <c r="A10" s="10" t="s">
        <v>45</v>
      </c>
      <c r="B10" s="10" t="s">
        <v>46</v>
      </c>
      <c r="C10" s="10" t="s">
        <v>38</v>
      </c>
      <c r="D10" s="10" t="s">
        <v>47</v>
      </c>
      <c r="E10" s="10" t="n">
        <v>2874</v>
      </c>
      <c r="F10" s="10" t="n">
        <v>2951</v>
      </c>
      <c r="G10" s="10" t="s">
        <v>48</v>
      </c>
    </row>
    <row r="11" customFormat="false" ht="15" hidden="false" customHeight="false" outlineLevel="0" collapsed="false">
      <c r="A11" s="9" t="s">
        <v>49</v>
      </c>
      <c r="B11" s="9" t="s">
        <v>50</v>
      </c>
      <c r="C11" s="9" t="s">
        <v>38</v>
      </c>
      <c r="D11" s="9" t="s">
        <v>47</v>
      </c>
      <c r="E11" s="9" t="n">
        <v>1638</v>
      </c>
      <c r="F11" s="9" t="n">
        <v>1702</v>
      </c>
      <c r="G11" s="9" t="s">
        <v>48</v>
      </c>
    </row>
    <row r="12" customFormat="false" ht="15" hidden="false" customHeight="false" outlineLevel="0" collapsed="false">
      <c r="A12" s="10" t="s">
        <v>51</v>
      </c>
      <c r="B12" s="10" t="s">
        <v>52</v>
      </c>
      <c r="C12" s="10" t="s">
        <v>38</v>
      </c>
      <c r="D12" s="10" t="s">
        <v>53</v>
      </c>
      <c r="E12" s="10" t="n">
        <v>884</v>
      </c>
      <c r="F12" s="10" t="n">
        <v>903</v>
      </c>
      <c r="G12" s="10" t="s">
        <v>54</v>
      </c>
    </row>
    <row r="13" customFormat="false" ht="15" hidden="false" customHeight="false" outlineLevel="0" collapsed="false">
      <c r="A13" s="9" t="s">
        <v>55</v>
      </c>
      <c r="B13" s="9" t="s">
        <v>56</v>
      </c>
      <c r="C13" s="9" t="s">
        <v>38</v>
      </c>
      <c r="D13" s="9" t="s">
        <v>57</v>
      </c>
      <c r="E13" s="9" t="n">
        <v>612</v>
      </c>
      <c r="F13" s="9" t="n">
        <v>628</v>
      </c>
      <c r="G13" s="9" t="s">
        <v>48</v>
      </c>
    </row>
    <row r="14" customFormat="false" ht="15" hidden="false" customHeight="false" outlineLevel="0" collapsed="false">
      <c r="A14" s="10" t="s">
        <v>58</v>
      </c>
      <c r="B14" s="10" t="s">
        <v>59</v>
      </c>
      <c r="C14" s="10" t="s">
        <v>38</v>
      </c>
      <c r="D14" s="10" t="s">
        <v>57</v>
      </c>
      <c r="E14" s="10" t="n">
        <v>428</v>
      </c>
      <c r="F14" s="10" t="n">
        <v>441</v>
      </c>
      <c r="G14" s="1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7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17"/>
    <col collapsed="false" customWidth="true" hidden="false" outlineLevel="0" max="13" min="13" style="0" width="14"/>
    <col collapsed="false" customWidth="true" hidden="false" outlineLevel="0" max="14" min="14" style="0" width="15"/>
  </cols>
  <sheetData>
    <row r="1" customFormat="false" ht="16.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30" hidden="false" customHeight="true" outlineLevel="0" collapsed="false">
      <c r="A4" s="8" t="s">
        <v>62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</row>
    <row r="5" customFormat="false" ht="15" hidden="false" customHeight="false" outlineLevel="0" collapsed="false">
      <c r="A5" s="9" t="s">
        <v>76</v>
      </c>
      <c r="B5" s="9" t="s">
        <v>77</v>
      </c>
      <c r="C5" s="9" t="s">
        <v>39</v>
      </c>
      <c r="D5" s="9" t="s">
        <v>78</v>
      </c>
      <c r="E5" s="9" t="s">
        <v>79</v>
      </c>
      <c r="F5" s="9" t="s">
        <v>80</v>
      </c>
      <c r="G5" s="9" t="n">
        <v>310</v>
      </c>
      <c r="H5" s="9" t="n">
        <v>214</v>
      </c>
      <c r="I5" s="9" t="n">
        <v>42</v>
      </c>
      <c r="J5" s="11" t="n">
        <f aca="false">IFERROR(H5/G5,"")</f>
        <v>0.690322580645161</v>
      </c>
      <c r="K5" s="9" t="n">
        <v>96</v>
      </c>
      <c r="L5" s="9" t="n">
        <v>38</v>
      </c>
      <c r="M5" s="9" t="s">
        <v>81</v>
      </c>
      <c r="N5" s="9" t="s">
        <v>82</v>
      </c>
    </row>
    <row r="6" customFormat="false" ht="15" hidden="false" customHeight="false" outlineLevel="0" collapsed="false">
      <c r="A6" s="10" t="s">
        <v>83</v>
      </c>
      <c r="B6" s="10" t="s">
        <v>84</v>
      </c>
      <c r="C6" s="10" t="s">
        <v>39</v>
      </c>
      <c r="D6" s="10" t="s">
        <v>78</v>
      </c>
      <c r="E6" s="10" t="s">
        <v>79</v>
      </c>
      <c r="F6" s="10" t="s">
        <v>80</v>
      </c>
      <c r="G6" s="10" t="n">
        <v>245</v>
      </c>
      <c r="H6" s="10" t="n">
        <v>118</v>
      </c>
      <c r="I6" s="10" t="n">
        <v>0</v>
      </c>
      <c r="J6" s="11" t="n">
        <f aca="false">IFERROR(H6/G6,"")</f>
        <v>0.481632653061225</v>
      </c>
      <c r="K6" s="10" t="n">
        <v>44</v>
      </c>
      <c r="L6" s="10" t="n">
        <v>21</v>
      </c>
      <c r="M6" s="10" t="s">
        <v>81</v>
      </c>
      <c r="N6" s="10" t="s">
        <v>82</v>
      </c>
    </row>
    <row r="7" customFormat="false" ht="15" hidden="false" customHeight="false" outlineLevel="0" collapsed="false">
      <c r="A7" s="9" t="s">
        <v>85</v>
      </c>
      <c r="B7" s="9" t="s">
        <v>86</v>
      </c>
      <c r="C7" s="9" t="s">
        <v>39</v>
      </c>
      <c r="D7" s="9" t="s">
        <v>78</v>
      </c>
      <c r="E7" s="9" t="s">
        <v>79</v>
      </c>
      <c r="F7" s="9" t="s">
        <v>80</v>
      </c>
      <c r="G7" s="9" t="n">
        <v>268</v>
      </c>
      <c r="H7" s="9" t="n">
        <v>96</v>
      </c>
      <c r="I7" s="9" t="n">
        <v>0</v>
      </c>
      <c r="J7" s="11" t="n">
        <f aca="false">IFERROR(H7/G7,"")</f>
        <v>0.358208955223881</v>
      </c>
      <c r="K7" s="9" t="n">
        <v>31</v>
      </c>
      <c r="L7" s="9" t="n">
        <v>26</v>
      </c>
      <c r="M7" s="9" t="s">
        <v>87</v>
      </c>
      <c r="N7" s="9" t="s">
        <v>88</v>
      </c>
    </row>
    <row r="8" customFormat="false" ht="15" hidden="false" customHeight="false" outlineLevel="0" collapsed="false">
      <c r="A8" s="10" t="s">
        <v>89</v>
      </c>
      <c r="B8" s="10" t="s">
        <v>90</v>
      </c>
      <c r="C8" s="10" t="s">
        <v>32</v>
      </c>
      <c r="D8" s="10" t="s">
        <v>78</v>
      </c>
      <c r="E8" s="10" t="s">
        <v>91</v>
      </c>
      <c r="F8" s="10" t="s">
        <v>92</v>
      </c>
      <c r="G8" s="10" t="n">
        <v>186</v>
      </c>
      <c r="H8" s="10" t="n">
        <v>141</v>
      </c>
      <c r="I8" s="10" t="n">
        <v>28</v>
      </c>
      <c r="J8" s="11" t="n">
        <f aca="false">IFERROR(H8/G8,"")</f>
        <v>0.758064516129032</v>
      </c>
      <c r="K8" s="10" t="n">
        <v>62</v>
      </c>
      <c r="L8" s="10" t="n">
        <v>34</v>
      </c>
      <c r="M8" s="10" t="s">
        <v>81</v>
      </c>
      <c r="N8" s="10" t="s">
        <v>82</v>
      </c>
    </row>
    <row r="9" customFormat="false" ht="15" hidden="false" customHeight="false" outlineLevel="0" collapsed="false">
      <c r="A9" s="9" t="s">
        <v>93</v>
      </c>
      <c r="B9" s="9" t="s">
        <v>94</v>
      </c>
      <c r="C9" s="9" t="s">
        <v>32</v>
      </c>
      <c r="D9" s="9" t="s">
        <v>78</v>
      </c>
      <c r="E9" s="9" t="s">
        <v>91</v>
      </c>
      <c r="F9" s="9" t="s">
        <v>92</v>
      </c>
      <c r="G9" s="9" t="n">
        <v>152</v>
      </c>
      <c r="H9" s="9" t="n">
        <v>61</v>
      </c>
      <c r="I9" s="9" t="n">
        <v>0</v>
      </c>
      <c r="J9" s="11" t="n">
        <f aca="false">IFERROR(H9/G9,"")</f>
        <v>0.401315789473684</v>
      </c>
      <c r="K9" s="9" t="n">
        <v>18</v>
      </c>
      <c r="L9" s="9" t="n">
        <v>44</v>
      </c>
      <c r="M9" s="9" t="s">
        <v>87</v>
      </c>
      <c r="N9" s="9" t="s">
        <v>88</v>
      </c>
    </row>
    <row r="10" customFormat="false" ht="15" hidden="false" customHeight="false" outlineLevel="0" collapsed="false">
      <c r="A10" s="10" t="s">
        <v>95</v>
      </c>
      <c r="B10" s="10" t="s">
        <v>96</v>
      </c>
      <c r="C10" s="10" t="s">
        <v>32</v>
      </c>
      <c r="D10" s="10" t="s">
        <v>78</v>
      </c>
      <c r="E10" s="10" t="s">
        <v>91</v>
      </c>
      <c r="F10" s="10" t="s">
        <v>92</v>
      </c>
      <c r="G10" s="10" t="n">
        <v>74</v>
      </c>
      <c r="H10" s="10" t="n">
        <v>22</v>
      </c>
      <c r="I10" s="10" t="n">
        <v>0</v>
      </c>
      <c r="J10" s="11" t="n">
        <f aca="false">IFERROR(H10/G10,"")</f>
        <v>0.297297297297297</v>
      </c>
      <c r="K10" s="10" t="n">
        <v>6</v>
      </c>
      <c r="L10" s="10" t="n">
        <v>12</v>
      </c>
      <c r="M10" s="10" t="s">
        <v>97</v>
      </c>
      <c r="N10" s="10" t="s">
        <v>88</v>
      </c>
    </row>
    <row r="11" customFormat="false" ht="15" hidden="false" customHeight="false" outlineLevel="0" collapsed="false">
      <c r="A11" s="9" t="s">
        <v>98</v>
      </c>
      <c r="B11" s="9" t="s">
        <v>99</v>
      </c>
      <c r="C11" s="9" t="s">
        <v>47</v>
      </c>
      <c r="D11" s="9" t="s">
        <v>78</v>
      </c>
      <c r="E11" s="9" t="s">
        <v>100</v>
      </c>
      <c r="F11" s="9" t="s">
        <v>101</v>
      </c>
      <c r="G11" s="9" t="n">
        <v>296</v>
      </c>
      <c r="H11" s="9" t="n">
        <v>148</v>
      </c>
      <c r="I11" s="9" t="n">
        <v>31</v>
      </c>
      <c r="J11" s="11" t="n">
        <f aca="false">IFERROR(H11/G11,"")</f>
        <v>0.5</v>
      </c>
      <c r="K11" s="9" t="n">
        <v>74</v>
      </c>
      <c r="L11" s="9" t="n">
        <v>96</v>
      </c>
      <c r="M11" s="9" t="s">
        <v>81</v>
      </c>
      <c r="N11" s="9" t="s">
        <v>82</v>
      </c>
    </row>
    <row r="12" customFormat="false" ht="15" hidden="false" customHeight="false" outlineLevel="0" collapsed="false">
      <c r="A12" s="10" t="s">
        <v>102</v>
      </c>
      <c r="B12" s="10" t="s">
        <v>103</v>
      </c>
      <c r="C12" s="10" t="s">
        <v>47</v>
      </c>
      <c r="D12" s="10" t="s">
        <v>78</v>
      </c>
      <c r="E12" s="10" t="s">
        <v>100</v>
      </c>
      <c r="F12" s="10" t="s">
        <v>101</v>
      </c>
      <c r="G12" s="10" t="n">
        <v>118</v>
      </c>
      <c r="H12" s="10" t="n">
        <v>47</v>
      </c>
      <c r="I12" s="10" t="n">
        <v>0</v>
      </c>
      <c r="J12" s="11" t="n">
        <f aca="false">IFERROR(H12/G12,"")</f>
        <v>0.398305084745763</v>
      </c>
      <c r="K12" s="10" t="n">
        <v>14</v>
      </c>
      <c r="L12" s="10" t="n">
        <v>18</v>
      </c>
      <c r="M12" s="10" t="s">
        <v>87</v>
      </c>
      <c r="N12" s="10" t="s">
        <v>88</v>
      </c>
    </row>
    <row r="13" customFormat="false" ht="15" hidden="false" customHeight="false" outlineLevel="0" collapsed="false">
      <c r="A13" s="9" t="s">
        <v>104</v>
      </c>
      <c r="B13" s="9" t="s">
        <v>105</v>
      </c>
      <c r="C13" s="9" t="s">
        <v>53</v>
      </c>
      <c r="D13" s="9" t="s">
        <v>78</v>
      </c>
      <c r="E13" s="9" t="s">
        <v>106</v>
      </c>
      <c r="F13" s="9" t="s">
        <v>107</v>
      </c>
      <c r="G13" s="9" t="n">
        <v>134</v>
      </c>
      <c r="H13" s="9" t="n">
        <v>52</v>
      </c>
      <c r="I13" s="9" t="n">
        <v>9</v>
      </c>
      <c r="J13" s="11" t="n">
        <f aca="false">IFERROR(H13/G13,"")</f>
        <v>0.388059701492537</v>
      </c>
      <c r="K13" s="9" t="n">
        <v>22</v>
      </c>
      <c r="L13" s="9" t="n">
        <v>41</v>
      </c>
      <c r="M13" s="9" t="s">
        <v>81</v>
      </c>
      <c r="N13" s="9" t="s">
        <v>82</v>
      </c>
    </row>
    <row r="14" customFormat="false" ht="15" hidden="false" customHeight="false" outlineLevel="0" collapsed="false">
      <c r="A14" s="10" t="s">
        <v>108</v>
      </c>
      <c r="B14" s="10" t="s">
        <v>109</v>
      </c>
      <c r="C14" s="10" t="s">
        <v>57</v>
      </c>
      <c r="D14" s="10" t="s">
        <v>78</v>
      </c>
      <c r="E14" s="10" t="s">
        <v>79</v>
      </c>
      <c r="F14" s="10" t="s">
        <v>80</v>
      </c>
      <c r="G14" s="10" t="n">
        <v>97</v>
      </c>
      <c r="H14" s="10" t="n">
        <v>24</v>
      </c>
      <c r="I14" s="10" t="n">
        <v>0</v>
      </c>
      <c r="J14" s="11" t="n">
        <f aca="false">IFERROR(H14/G14,"")</f>
        <v>0.247422680412371</v>
      </c>
      <c r="K14" s="10" t="n">
        <v>8</v>
      </c>
      <c r="L14" s="10" t="n">
        <v>29</v>
      </c>
      <c r="M14" s="10" t="s">
        <v>97</v>
      </c>
      <c r="N14" s="10" t="s">
        <v>88</v>
      </c>
    </row>
    <row r="15" customFormat="false" ht="15" hidden="false" customHeight="false" outlineLevel="0" collapsed="false">
      <c r="A15" s="9" t="s">
        <v>110</v>
      </c>
      <c r="B15" s="9" t="s">
        <v>111</v>
      </c>
      <c r="C15" s="9" t="s">
        <v>57</v>
      </c>
      <c r="D15" s="9" t="s">
        <v>78</v>
      </c>
      <c r="E15" s="9" t="s">
        <v>112</v>
      </c>
      <c r="F15" s="9" t="s">
        <v>113</v>
      </c>
      <c r="G15" s="9" t="n">
        <v>62</v>
      </c>
      <c r="H15" s="9" t="n">
        <v>38</v>
      </c>
      <c r="I15" s="9" t="n">
        <v>11</v>
      </c>
      <c r="J15" s="11" t="n">
        <f aca="false">IFERROR(H15/G15,"")</f>
        <v>0.612903225806452</v>
      </c>
      <c r="K15" s="9" t="n">
        <v>19</v>
      </c>
      <c r="L15" s="9" t="n">
        <v>7</v>
      </c>
      <c r="M15" s="9" t="s">
        <v>81</v>
      </c>
      <c r="N15" s="9" t="s">
        <v>82</v>
      </c>
    </row>
    <row r="16" customFormat="false" ht="15" hidden="false" customHeight="false" outlineLevel="0" collapsed="false">
      <c r="A16" s="10" t="s">
        <v>114</v>
      </c>
      <c r="B16" s="10" t="s">
        <v>115</v>
      </c>
      <c r="C16" s="10" t="s">
        <v>116</v>
      </c>
      <c r="D16" s="10" t="s">
        <v>117</v>
      </c>
      <c r="E16" s="10" t="s">
        <v>112</v>
      </c>
      <c r="F16" s="10" t="s">
        <v>113</v>
      </c>
      <c r="G16" s="10" t="n">
        <v>2240</v>
      </c>
      <c r="H16" s="10" t="n">
        <v>610</v>
      </c>
      <c r="I16" s="10" t="n">
        <v>0</v>
      </c>
      <c r="J16" s="11" t="n">
        <f aca="false">IFERROR(H16/G16,"")</f>
        <v>0.272321428571429</v>
      </c>
      <c r="K16" s="10" t="n">
        <v>148</v>
      </c>
      <c r="L16" s="10" t="n">
        <v>74</v>
      </c>
      <c r="M16" s="10" t="s">
        <v>81</v>
      </c>
      <c r="N16" s="10" t="s">
        <v>88</v>
      </c>
    </row>
    <row r="17" customFormat="false" ht="15" hidden="false" customHeight="false" outlineLevel="0" collapsed="false">
      <c r="A17" s="9" t="s">
        <v>118</v>
      </c>
      <c r="B17" s="9" t="s">
        <v>119</v>
      </c>
      <c r="C17" s="9" t="s">
        <v>116</v>
      </c>
      <c r="D17" s="9" t="s">
        <v>117</v>
      </c>
      <c r="E17" s="9" t="s">
        <v>112</v>
      </c>
      <c r="F17" s="9" t="s">
        <v>113</v>
      </c>
      <c r="G17" s="9" t="n">
        <v>1680</v>
      </c>
      <c r="H17" s="9" t="n">
        <v>405</v>
      </c>
      <c r="I17" s="9" t="n">
        <v>0</v>
      </c>
      <c r="J17" s="11" t="n">
        <f aca="false">IFERROR(H17/G17,"")</f>
        <v>0.241071428571429</v>
      </c>
      <c r="K17" s="9" t="n">
        <v>96</v>
      </c>
      <c r="L17" s="9" t="n">
        <v>61</v>
      </c>
      <c r="M17" s="9" t="s">
        <v>81</v>
      </c>
      <c r="N17" s="9" t="s">
        <v>88</v>
      </c>
    </row>
    <row r="18" customFormat="false" ht="15" hidden="false" customHeight="false" outlineLevel="0" collapsed="false">
      <c r="A18" s="10" t="s">
        <v>120</v>
      </c>
      <c r="B18" s="10" t="s">
        <v>121</v>
      </c>
      <c r="C18" s="10" t="s">
        <v>116</v>
      </c>
      <c r="D18" s="10" t="s">
        <v>117</v>
      </c>
      <c r="E18" s="10" t="s">
        <v>112</v>
      </c>
      <c r="F18" s="10" t="s">
        <v>113</v>
      </c>
      <c r="G18" s="10" t="n">
        <v>760</v>
      </c>
      <c r="H18" s="10" t="n">
        <v>233</v>
      </c>
      <c r="I18" s="10" t="n">
        <v>0</v>
      </c>
      <c r="J18" s="11" t="n">
        <f aca="false">IFERROR(H18/G18,"")</f>
        <v>0.306578947368421</v>
      </c>
      <c r="K18" s="10" t="n">
        <v>58</v>
      </c>
      <c r="L18" s="10" t="n">
        <v>22</v>
      </c>
      <c r="M18" s="10" t="s">
        <v>87</v>
      </c>
      <c r="N18" s="10" t="s">
        <v>88</v>
      </c>
    </row>
    <row r="19" customFormat="false" ht="15" hidden="false" customHeight="false" outlineLevel="0" collapsed="false">
      <c r="A19" s="9" t="s">
        <v>122</v>
      </c>
      <c r="B19" s="9" t="s">
        <v>123</v>
      </c>
      <c r="C19" s="9" t="s">
        <v>124</v>
      </c>
      <c r="D19" s="9" t="s">
        <v>117</v>
      </c>
      <c r="E19" s="9" t="s">
        <v>112</v>
      </c>
      <c r="F19" s="9" t="s">
        <v>113</v>
      </c>
      <c r="G19" s="9" t="n">
        <v>420</v>
      </c>
      <c r="H19" s="9" t="n">
        <v>84</v>
      </c>
      <c r="I19" s="9" t="n">
        <v>0</v>
      </c>
      <c r="J19" s="11" t="n">
        <f aca="false">IFERROR(H19/G19,"")</f>
        <v>0.2</v>
      </c>
      <c r="K19" s="9" t="n">
        <v>17</v>
      </c>
      <c r="L19" s="9" t="n">
        <v>33</v>
      </c>
      <c r="M19" s="9" t="s">
        <v>97</v>
      </c>
      <c r="N19" s="9" t="s">
        <v>88</v>
      </c>
    </row>
    <row r="20" customFormat="false" ht="15" hidden="false" customHeight="false" outlineLevel="0" collapsed="false">
      <c r="A20" s="10" t="s">
        <v>125</v>
      </c>
      <c r="B20" s="10" t="s">
        <v>126</v>
      </c>
      <c r="C20" s="10" t="s">
        <v>124</v>
      </c>
      <c r="D20" s="10" t="s">
        <v>117</v>
      </c>
      <c r="E20" s="10" t="s">
        <v>112</v>
      </c>
      <c r="F20" s="10" t="s">
        <v>127</v>
      </c>
      <c r="G20" s="10" t="n">
        <v>210</v>
      </c>
      <c r="H20" s="10" t="n">
        <v>61</v>
      </c>
      <c r="I20" s="10" t="n">
        <v>0</v>
      </c>
      <c r="J20" s="11" t="n">
        <f aca="false">IFERROR(H20/G20,"")</f>
        <v>0.290476190476191</v>
      </c>
      <c r="K20" s="10" t="n">
        <v>14</v>
      </c>
      <c r="L20" s="10" t="n">
        <v>9</v>
      </c>
      <c r="M20" s="10" t="s">
        <v>87</v>
      </c>
      <c r="N20" s="10" t="s">
        <v>88</v>
      </c>
    </row>
    <row r="21" customFormat="false" ht="15" hidden="false" customHeight="false" outlineLevel="0" collapsed="false">
      <c r="B21" s="12" t="s">
        <v>128</v>
      </c>
      <c r="G21" s="13" t="n">
        <f aca="false">SUM(G5:G20)</f>
        <v>7252</v>
      </c>
      <c r="H21" s="13" t="n">
        <f aca="false">SUM(H5:H20)</f>
        <v>2354</v>
      </c>
      <c r="I21" s="13" t="n">
        <f aca="false">SUM(I5:I20)</f>
        <v>121</v>
      </c>
      <c r="J21" s="14" t="n">
        <f aca="false">IFERROR(H21/G21,"")</f>
        <v>0.324600110314396</v>
      </c>
      <c r="K21" s="13" t="n">
        <f aca="false">SUM(K5:K20)</f>
        <v>727</v>
      </c>
      <c r="L21" s="13" t="n">
        <f aca="false">SUM(L5:L20)</f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0"/>
    <col collapsed="false" customWidth="true" hidden="false" outlineLevel="0" max="8" min="3" style="0" width="11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16.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30" hidden="false" customHeight="true" outlineLevel="0" collapsed="false">
      <c r="A4" s="8" t="s">
        <v>62</v>
      </c>
      <c r="B4" s="8" t="s">
        <v>63</v>
      </c>
      <c r="C4" s="8" t="s">
        <v>131</v>
      </c>
      <c r="D4" s="8" t="s">
        <v>132</v>
      </c>
      <c r="E4" s="8" t="s">
        <v>133</v>
      </c>
      <c r="F4" s="8" t="s">
        <v>134</v>
      </c>
      <c r="G4" s="8" t="s">
        <v>135</v>
      </c>
      <c r="H4" s="8" t="s">
        <v>136</v>
      </c>
      <c r="I4" s="8" t="s">
        <v>128</v>
      </c>
      <c r="J4" s="8" t="s">
        <v>137</v>
      </c>
    </row>
    <row r="5" customFormat="false" ht="15" hidden="false" customHeight="false" outlineLevel="0" collapsed="false">
      <c r="A5" s="9" t="s">
        <v>76</v>
      </c>
      <c r="B5" s="9" t="s">
        <v>138</v>
      </c>
      <c r="C5" s="9" t="n">
        <v>0</v>
      </c>
      <c r="D5" s="9" t="n">
        <v>6</v>
      </c>
      <c r="E5" s="9" t="n">
        <v>13</v>
      </c>
      <c r="F5" s="9" t="n">
        <v>19</v>
      </c>
      <c r="G5" s="9" t="n">
        <v>26</v>
      </c>
      <c r="H5" s="9" t="n">
        <v>32</v>
      </c>
      <c r="I5" s="15" t="n">
        <f aca="false">SUM(C5:H5)</f>
        <v>96</v>
      </c>
      <c r="J5" s="15" t="str">
        <f aca="false">IF(I5=INDEX('Synergy Register'!$K$5:$K$20,MATCH($A5,'Synergy Register'!$A$5:$A$20,0)),"ok","check")</f>
        <v>ok</v>
      </c>
    </row>
    <row r="6" customFormat="false" ht="15" hidden="false" customHeight="false" outlineLevel="0" collapsed="false">
      <c r="A6" s="10" t="s">
        <v>83</v>
      </c>
      <c r="B6" s="10" t="s">
        <v>139</v>
      </c>
      <c r="C6" s="10" t="n">
        <v>0</v>
      </c>
      <c r="D6" s="10" t="n">
        <v>3</v>
      </c>
      <c r="E6" s="10" t="n">
        <v>6</v>
      </c>
      <c r="F6" s="10" t="n">
        <v>9</v>
      </c>
      <c r="G6" s="10" t="n">
        <v>12</v>
      </c>
      <c r="H6" s="10" t="n">
        <v>14</v>
      </c>
      <c r="I6" s="15" t="n">
        <f aca="false">SUM(C6:H6)</f>
        <v>44</v>
      </c>
      <c r="J6" s="15" t="str">
        <f aca="false">IF(I6=INDEX('Synergy Register'!$K$5:$K$20,MATCH($A6,'Synergy Register'!$A$5:$A$20,0)),"ok","check")</f>
        <v>ok</v>
      </c>
    </row>
    <row r="7" customFormat="false" ht="15" hidden="false" customHeight="false" outlineLevel="0" collapsed="false">
      <c r="A7" s="9" t="s">
        <v>85</v>
      </c>
      <c r="B7" s="9" t="s">
        <v>140</v>
      </c>
      <c r="C7" s="9" t="n">
        <v>0</v>
      </c>
      <c r="D7" s="9" t="n">
        <v>2</v>
      </c>
      <c r="E7" s="9" t="n">
        <v>4</v>
      </c>
      <c r="F7" s="9" t="n">
        <v>6</v>
      </c>
      <c r="G7" s="9" t="n">
        <v>8</v>
      </c>
      <c r="H7" s="9" t="n">
        <v>11</v>
      </c>
      <c r="I7" s="15" t="n">
        <f aca="false">SUM(C7:H7)</f>
        <v>31</v>
      </c>
      <c r="J7" s="15" t="str">
        <f aca="false">IF(I7=INDEX('Synergy Register'!$K$5:$K$20,MATCH($A7,'Synergy Register'!$A$5:$A$20,0)),"ok","check")</f>
        <v>ok</v>
      </c>
    </row>
    <row r="8" customFormat="false" ht="15" hidden="false" customHeight="false" outlineLevel="0" collapsed="false">
      <c r="A8" s="10" t="s">
        <v>89</v>
      </c>
      <c r="B8" s="10" t="s">
        <v>141</v>
      </c>
      <c r="C8" s="10" t="n">
        <v>0</v>
      </c>
      <c r="D8" s="10" t="n">
        <v>4</v>
      </c>
      <c r="E8" s="10" t="n">
        <v>8</v>
      </c>
      <c r="F8" s="10" t="n">
        <v>12</v>
      </c>
      <c r="G8" s="10" t="n">
        <v>17</v>
      </c>
      <c r="H8" s="10" t="n">
        <v>21</v>
      </c>
      <c r="I8" s="15" t="n">
        <f aca="false">SUM(C8:H8)</f>
        <v>62</v>
      </c>
      <c r="J8" s="15" t="str">
        <f aca="false">IF(I8=INDEX('Synergy Register'!$K$5:$K$20,MATCH($A8,'Synergy Register'!$A$5:$A$20,0)),"ok","check")</f>
        <v>ok</v>
      </c>
    </row>
    <row r="9" customFormat="false" ht="15" hidden="false" customHeight="false" outlineLevel="0" collapsed="false">
      <c r="A9" s="9" t="s">
        <v>93</v>
      </c>
      <c r="B9" s="9" t="s">
        <v>142</v>
      </c>
      <c r="C9" s="9" t="n">
        <v>0</v>
      </c>
      <c r="D9" s="9" t="n">
        <v>1</v>
      </c>
      <c r="E9" s="9" t="n">
        <v>2</v>
      </c>
      <c r="F9" s="9" t="n">
        <v>4</v>
      </c>
      <c r="G9" s="9" t="n">
        <v>5</v>
      </c>
      <c r="H9" s="9" t="n">
        <v>6</v>
      </c>
      <c r="I9" s="15" t="n">
        <f aca="false">SUM(C9:H9)</f>
        <v>18</v>
      </c>
      <c r="J9" s="15" t="str">
        <f aca="false">IF(I9=INDEX('Synergy Register'!$K$5:$K$20,MATCH($A9,'Synergy Register'!$A$5:$A$20,0)),"ok","check")</f>
        <v>ok</v>
      </c>
    </row>
    <row r="10" customFormat="false" ht="15" hidden="false" customHeight="false" outlineLevel="0" collapsed="false">
      <c r="A10" s="10" t="s">
        <v>95</v>
      </c>
      <c r="B10" s="10" t="s">
        <v>96</v>
      </c>
      <c r="C10" s="10" t="n">
        <v>0</v>
      </c>
      <c r="D10" s="10" t="n">
        <v>0</v>
      </c>
      <c r="E10" s="10" t="n">
        <v>1</v>
      </c>
      <c r="F10" s="10" t="n">
        <v>1</v>
      </c>
      <c r="G10" s="10" t="n">
        <v>2</v>
      </c>
      <c r="H10" s="10" t="n">
        <v>2</v>
      </c>
      <c r="I10" s="15" t="n">
        <f aca="false">SUM(C10:H10)</f>
        <v>6</v>
      </c>
      <c r="J10" s="15" t="str">
        <f aca="false">IF(I10=INDEX('Synergy Register'!$K$5:$K$20,MATCH($A10,'Synergy Register'!$A$5:$A$20,0)),"ok","check")</f>
        <v>ok</v>
      </c>
    </row>
    <row r="11" customFormat="false" ht="15" hidden="false" customHeight="false" outlineLevel="0" collapsed="false">
      <c r="A11" s="9" t="s">
        <v>98</v>
      </c>
      <c r="B11" s="9" t="s">
        <v>143</v>
      </c>
      <c r="C11" s="9" t="n">
        <v>0</v>
      </c>
      <c r="D11" s="9" t="n">
        <v>5</v>
      </c>
      <c r="E11" s="9" t="n">
        <v>10</v>
      </c>
      <c r="F11" s="9" t="n">
        <v>15</v>
      </c>
      <c r="G11" s="9" t="n">
        <v>20</v>
      </c>
      <c r="H11" s="9" t="n">
        <v>24</v>
      </c>
      <c r="I11" s="15" t="n">
        <f aca="false">SUM(C11:H11)</f>
        <v>74</v>
      </c>
      <c r="J11" s="15" t="str">
        <f aca="false">IF(I11=INDEX('Synergy Register'!$K$5:$K$20,MATCH($A11,'Synergy Register'!$A$5:$A$20,0)),"ok","check")</f>
        <v>ok</v>
      </c>
    </row>
    <row r="12" customFormat="false" ht="15" hidden="false" customHeight="false" outlineLevel="0" collapsed="false">
      <c r="A12" s="10" t="s">
        <v>102</v>
      </c>
      <c r="B12" s="10" t="s">
        <v>144</v>
      </c>
      <c r="C12" s="10" t="n">
        <v>0</v>
      </c>
      <c r="D12" s="10" t="n">
        <v>1</v>
      </c>
      <c r="E12" s="10" t="n">
        <v>2</v>
      </c>
      <c r="F12" s="10" t="n">
        <v>3</v>
      </c>
      <c r="G12" s="10" t="n">
        <v>4</v>
      </c>
      <c r="H12" s="10" t="n">
        <v>4</v>
      </c>
      <c r="I12" s="15" t="n">
        <f aca="false">SUM(C12:H12)</f>
        <v>14</v>
      </c>
      <c r="J12" s="15" t="str">
        <f aca="false">IF(I12=INDEX('Synergy Register'!$K$5:$K$20,MATCH($A12,'Synergy Register'!$A$5:$A$20,0)),"ok","check")</f>
        <v>ok</v>
      </c>
    </row>
    <row r="13" customFormat="false" ht="15" hidden="false" customHeight="false" outlineLevel="0" collapsed="false">
      <c r="A13" s="9" t="s">
        <v>104</v>
      </c>
      <c r="B13" s="9" t="s">
        <v>145</v>
      </c>
      <c r="C13" s="9" t="n">
        <v>0</v>
      </c>
      <c r="D13" s="9" t="n">
        <v>1</v>
      </c>
      <c r="E13" s="9" t="n">
        <v>3</v>
      </c>
      <c r="F13" s="9" t="n">
        <v>4</v>
      </c>
      <c r="G13" s="9" t="n">
        <v>6</v>
      </c>
      <c r="H13" s="9" t="n">
        <v>8</v>
      </c>
      <c r="I13" s="15" t="n">
        <f aca="false">SUM(C13:H13)</f>
        <v>22</v>
      </c>
      <c r="J13" s="15" t="str">
        <f aca="false">IF(I13=INDEX('Synergy Register'!$K$5:$K$20,MATCH($A13,'Synergy Register'!$A$5:$A$20,0)),"ok","check")</f>
        <v>ok</v>
      </c>
    </row>
    <row r="14" customFormat="false" ht="15" hidden="false" customHeight="false" outlineLevel="0" collapsed="false">
      <c r="A14" s="10" t="s">
        <v>108</v>
      </c>
      <c r="B14" s="10" t="s">
        <v>146</v>
      </c>
      <c r="C14" s="10" t="n">
        <v>0</v>
      </c>
      <c r="D14" s="10" t="n">
        <v>1</v>
      </c>
      <c r="E14" s="10" t="n">
        <v>1</v>
      </c>
      <c r="F14" s="10" t="n">
        <v>2</v>
      </c>
      <c r="G14" s="10" t="n">
        <v>2</v>
      </c>
      <c r="H14" s="10" t="n">
        <v>2</v>
      </c>
      <c r="I14" s="15" t="n">
        <f aca="false">SUM(C14:H14)</f>
        <v>8</v>
      </c>
      <c r="J14" s="15" t="str">
        <f aca="false">IF(I14=INDEX('Synergy Register'!$K$5:$K$20,MATCH($A14,'Synergy Register'!$A$5:$A$20,0)),"ok","check")</f>
        <v>ok</v>
      </c>
    </row>
    <row r="15" customFormat="false" ht="15" hidden="false" customHeight="false" outlineLevel="0" collapsed="false">
      <c r="A15" s="9" t="s">
        <v>110</v>
      </c>
      <c r="B15" s="9" t="s">
        <v>111</v>
      </c>
      <c r="C15" s="9" t="n">
        <v>0</v>
      </c>
      <c r="D15" s="9" t="n">
        <v>1</v>
      </c>
      <c r="E15" s="9" t="n">
        <v>3</v>
      </c>
      <c r="F15" s="9" t="n">
        <v>4</v>
      </c>
      <c r="G15" s="9" t="n">
        <v>5</v>
      </c>
      <c r="H15" s="9" t="n">
        <v>6</v>
      </c>
      <c r="I15" s="15" t="n">
        <f aca="false">SUM(C15:H15)</f>
        <v>19</v>
      </c>
      <c r="J15" s="15" t="str">
        <f aca="false">IF(I15=INDEX('Synergy Register'!$K$5:$K$20,MATCH($A15,'Synergy Register'!$A$5:$A$20,0)),"ok","check")</f>
        <v>ok</v>
      </c>
    </row>
    <row r="16" customFormat="false" ht="15" hidden="false" customHeight="false" outlineLevel="0" collapsed="false">
      <c r="A16" s="10" t="s">
        <v>114</v>
      </c>
      <c r="B16" s="10" t="s">
        <v>147</v>
      </c>
      <c r="C16" s="10" t="n">
        <v>0</v>
      </c>
      <c r="D16" s="10" t="n">
        <v>10</v>
      </c>
      <c r="E16" s="10" t="n">
        <v>20</v>
      </c>
      <c r="F16" s="10" t="n">
        <v>30</v>
      </c>
      <c r="G16" s="10" t="n">
        <v>39</v>
      </c>
      <c r="H16" s="10" t="n">
        <v>49</v>
      </c>
      <c r="I16" s="15" t="n">
        <f aca="false">SUM(C16:H16)</f>
        <v>148</v>
      </c>
      <c r="J16" s="15" t="str">
        <f aca="false">IF(I16=INDEX('Synergy Register'!$K$5:$K$20,MATCH($A16,'Synergy Register'!$A$5:$A$20,0)),"ok","check")</f>
        <v>ok</v>
      </c>
    </row>
    <row r="17" customFormat="false" ht="15" hidden="false" customHeight="false" outlineLevel="0" collapsed="false">
      <c r="A17" s="9" t="s">
        <v>118</v>
      </c>
      <c r="B17" s="9" t="s">
        <v>148</v>
      </c>
      <c r="C17" s="9" t="n">
        <v>0</v>
      </c>
      <c r="D17" s="9" t="n">
        <v>6</v>
      </c>
      <c r="E17" s="9" t="n">
        <v>13</v>
      </c>
      <c r="F17" s="9" t="n">
        <v>19</v>
      </c>
      <c r="G17" s="9" t="n">
        <v>26</v>
      </c>
      <c r="H17" s="9" t="n">
        <v>32</v>
      </c>
      <c r="I17" s="15" t="n">
        <f aca="false">SUM(C17:H17)</f>
        <v>96</v>
      </c>
      <c r="J17" s="15" t="str">
        <f aca="false">IF(I17=INDEX('Synergy Register'!$K$5:$K$20,MATCH($A17,'Synergy Register'!$A$5:$A$20,0)),"ok","check")</f>
        <v>ok</v>
      </c>
    </row>
    <row r="18" customFormat="false" ht="15" hidden="false" customHeight="false" outlineLevel="0" collapsed="false">
      <c r="A18" s="10" t="s">
        <v>120</v>
      </c>
      <c r="B18" s="10" t="s">
        <v>149</v>
      </c>
      <c r="C18" s="10" t="n">
        <v>0</v>
      </c>
      <c r="D18" s="10" t="n">
        <v>4</v>
      </c>
      <c r="E18" s="10" t="n">
        <v>8</v>
      </c>
      <c r="F18" s="10" t="n">
        <v>12</v>
      </c>
      <c r="G18" s="10" t="n">
        <v>15</v>
      </c>
      <c r="H18" s="10" t="n">
        <v>19</v>
      </c>
      <c r="I18" s="15" t="n">
        <f aca="false">SUM(C18:H18)</f>
        <v>58</v>
      </c>
      <c r="J18" s="15" t="str">
        <f aca="false">IF(I18=INDEX('Synergy Register'!$K$5:$K$20,MATCH($A18,'Synergy Register'!$A$5:$A$20,0)),"ok","check")</f>
        <v>ok</v>
      </c>
    </row>
    <row r="19" customFormat="false" ht="15" hidden="false" customHeight="false" outlineLevel="0" collapsed="false">
      <c r="A19" s="9" t="s">
        <v>122</v>
      </c>
      <c r="B19" s="9" t="s">
        <v>150</v>
      </c>
      <c r="C19" s="9" t="n">
        <v>0</v>
      </c>
      <c r="D19" s="9" t="n">
        <v>1</v>
      </c>
      <c r="E19" s="9" t="n">
        <v>2</v>
      </c>
      <c r="F19" s="9" t="n">
        <v>3</v>
      </c>
      <c r="G19" s="9" t="n">
        <v>5</v>
      </c>
      <c r="H19" s="9" t="n">
        <v>6</v>
      </c>
      <c r="I19" s="15" t="n">
        <f aca="false">SUM(C19:H19)</f>
        <v>17</v>
      </c>
      <c r="J19" s="15" t="str">
        <f aca="false">IF(I19=INDEX('Synergy Register'!$K$5:$K$20,MATCH($A19,'Synergy Register'!$A$5:$A$20,0)),"ok","check")</f>
        <v>ok</v>
      </c>
    </row>
    <row r="20" customFormat="false" ht="15" hidden="false" customHeight="false" outlineLevel="0" collapsed="false">
      <c r="A20" s="10" t="s">
        <v>125</v>
      </c>
      <c r="B20" s="10" t="s">
        <v>151</v>
      </c>
      <c r="C20" s="10" t="n">
        <v>0</v>
      </c>
      <c r="D20" s="10" t="n">
        <v>1</v>
      </c>
      <c r="E20" s="10" t="n">
        <v>2</v>
      </c>
      <c r="F20" s="10" t="n">
        <v>3</v>
      </c>
      <c r="G20" s="10" t="n">
        <v>4</v>
      </c>
      <c r="H20" s="10" t="n">
        <v>4</v>
      </c>
      <c r="I20" s="15" t="n">
        <f aca="false">SUM(C20:H20)</f>
        <v>14</v>
      </c>
      <c r="J20" s="15" t="str">
        <f aca="false">IF(I20=INDEX('Synergy Register'!$K$5:$K$20,MATCH($A20,'Synergy Register'!$A$5:$A$20,0)),"ok","check")</f>
        <v>ok</v>
      </c>
    </row>
    <row r="21" customFormat="false" ht="15" hidden="false" customHeight="false" outlineLevel="0" collapsed="false">
      <c r="B21" s="12" t="s">
        <v>152</v>
      </c>
      <c r="C21" s="13" t="n">
        <f aca="false">SUM(C5:C20)</f>
        <v>0</v>
      </c>
      <c r="D21" s="13" t="n">
        <f aca="false">SUM(D5:D20)</f>
        <v>47</v>
      </c>
      <c r="E21" s="13" t="n">
        <f aca="false">SUM(E5:E20)</f>
        <v>98</v>
      </c>
      <c r="F21" s="13" t="n">
        <f aca="false">SUM(F5:F20)</f>
        <v>146</v>
      </c>
      <c r="G21" s="13" t="n">
        <f aca="false">SUM(G5:G20)</f>
        <v>196</v>
      </c>
      <c r="H21" s="13" t="n">
        <f aca="false">SUM(H5:H20)</f>
        <v>240</v>
      </c>
      <c r="I21" s="13" t="n">
        <f aca="false">SUM(I5:I20)</f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30" hidden="false" customHeight="true" outlineLevel="0" collapsed="false">
      <c r="A4" s="8" t="s">
        <v>155</v>
      </c>
      <c r="B4" s="8" t="s">
        <v>62</v>
      </c>
      <c r="C4" s="8" t="s">
        <v>156</v>
      </c>
      <c r="D4" s="8" t="s">
        <v>157</v>
      </c>
      <c r="E4" s="8" t="s">
        <v>67</v>
      </c>
      <c r="F4" s="8" t="s">
        <v>158</v>
      </c>
      <c r="G4" s="8" t="s">
        <v>159</v>
      </c>
      <c r="H4" s="8" t="s">
        <v>160</v>
      </c>
      <c r="I4" s="8" t="s">
        <v>161</v>
      </c>
    </row>
    <row r="5" customFormat="false" ht="15" hidden="false" customHeight="false" outlineLevel="0" collapsed="false">
      <c r="A5" s="9" t="s">
        <v>162</v>
      </c>
      <c r="B5" s="9" t="s">
        <v>76</v>
      </c>
      <c r="C5" s="9" t="s">
        <v>163</v>
      </c>
      <c r="D5" s="9" t="s">
        <v>164</v>
      </c>
      <c r="E5" s="9" t="s">
        <v>80</v>
      </c>
      <c r="F5" s="9" t="n">
        <v>38</v>
      </c>
      <c r="G5" s="9" t="n">
        <v>27</v>
      </c>
      <c r="H5" s="9" t="n">
        <v>10</v>
      </c>
      <c r="I5" s="15" t="n">
        <f aca="false">F5-H5</f>
        <v>28</v>
      </c>
    </row>
    <row r="6" customFormat="false" ht="15" hidden="false" customHeight="false" outlineLevel="0" collapsed="false">
      <c r="A6" s="10" t="s">
        <v>165</v>
      </c>
      <c r="B6" s="10" t="s">
        <v>83</v>
      </c>
      <c r="C6" s="10" t="s">
        <v>166</v>
      </c>
      <c r="D6" s="10" t="s">
        <v>164</v>
      </c>
      <c r="E6" s="10" t="s">
        <v>80</v>
      </c>
      <c r="F6" s="10" t="n">
        <v>21</v>
      </c>
      <c r="G6" s="10" t="n">
        <v>15</v>
      </c>
      <c r="H6" s="10" t="n">
        <v>5</v>
      </c>
      <c r="I6" s="15" t="n">
        <f aca="false">F6-H6</f>
        <v>16</v>
      </c>
    </row>
    <row r="7" customFormat="false" ht="15" hidden="false" customHeight="false" outlineLevel="0" collapsed="false">
      <c r="A7" s="9" t="s">
        <v>167</v>
      </c>
      <c r="B7" s="9" t="s">
        <v>85</v>
      </c>
      <c r="C7" s="9" t="s">
        <v>168</v>
      </c>
      <c r="D7" s="9" t="s">
        <v>164</v>
      </c>
      <c r="E7" s="9" t="s">
        <v>80</v>
      </c>
      <c r="F7" s="9" t="n">
        <v>26</v>
      </c>
      <c r="G7" s="9" t="n">
        <v>18</v>
      </c>
      <c r="H7" s="9" t="n">
        <v>6</v>
      </c>
      <c r="I7" s="15" t="n">
        <f aca="false">F7-H7</f>
        <v>20</v>
      </c>
    </row>
    <row r="8" customFormat="false" ht="15" hidden="false" customHeight="false" outlineLevel="0" collapsed="false">
      <c r="A8" s="10" t="s">
        <v>169</v>
      </c>
      <c r="B8" s="10" t="s">
        <v>89</v>
      </c>
      <c r="C8" s="10" t="s">
        <v>170</v>
      </c>
      <c r="D8" s="10" t="s">
        <v>171</v>
      </c>
      <c r="E8" s="10" t="s">
        <v>92</v>
      </c>
      <c r="F8" s="10" t="n">
        <v>34</v>
      </c>
      <c r="G8" s="10" t="n">
        <v>24</v>
      </c>
      <c r="H8" s="10" t="n">
        <v>8</v>
      </c>
      <c r="I8" s="15" t="n">
        <f aca="false">F8-H8</f>
        <v>26</v>
      </c>
    </row>
    <row r="9" customFormat="false" ht="15" hidden="false" customHeight="false" outlineLevel="0" collapsed="false">
      <c r="A9" s="9" t="s">
        <v>172</v>
      </c>
      <c r="B9" s="9" t="s">
        <v>93</v>
      </c>
      <c r="C9" s="9" t="s">
        <v>173</v>
      </c>
      <c r="D9" s="9" t="s">
        <v>171</v>
      </c>
      <c r="E9" s="9" t="s">
        <v>92</v>
      </c>
      <c r="F9" s="9" t="n">
        <v>44</v>
      </c>
      <c r="G9" s="9" t="n">
        <v>31</v>
      </c>
      <c r="H9" s="9" t="n">
        <v>11</v>
      </c>
      <c r="I9" s="15" t="n">
        <f aca="false">F9-H9</f>
        <v>33</v>
      </c>
    </row>
    <row r="10" customFormat="false" ht="15" hidden="false" customHeight="false" outlineLevel="0" collapsed="false">
      <c r="A10" s="10" t="s">
        <v>174</v>
      </c>
      <c r="B10" s="10" t="s">
        <v>95</v>
      </c>
      <c r="C10" s="10" t="s">
        <v>175</v>
      </c>
      <c r="D10" s="10" t="s">
        <v>171</v>
      </c>
      <c r="E10" s="10" t="s">
        <v>92</v>
      </c>
      <c r="F10" s="10" t="n">
        <v>12</v>
      </c>
      <c r="G10" s="10" t="n">
        <v>8</v>
      </c>
      <c r="H10" s="10" t="n">
        <v>3</v>
      </c>
      <c r="I10" s="15" t="n">
        <f aca="false">F10-H10</f>
        <v>9</v>
      </c>
    </row>
    <row r="11" customFormat="false" ht="15" hidden="false" customHeight="false" outlineLevel="0" collapsed="false">
      <c r="A11" s="9" t="s">
        <v>176</v>
      </c>
      <c r="B11" s="9" t="s">
        <v>98</v>
      </c>
      <c r="C11" s="9" t="s">
        <v>177</v>
      </c>
      <c r="D11" s="9" t="s">
        <v>178</v>
      </c>
      <c r="E11" s="9" t="s">
        <v>101</v>
      </c>
      <c r="F11" s="9" t="n">
        <v>96</v>
      </c>
      <c r="G11" s="9" t="n">
        <v>67</v>
      </c>
      <c r="H11" s="9" t="n">
        <v>24</v>
      </c>
      <c r="I11" s="15" t="n">
        <f aca="false">F11-H11</f>
        <v>72</v>
      </c>
    </row>
    <row r="12" customFormat="false" ht="15" hidden="false" customHeight="false" outlineLevel="0" collapsed="false">
      <c r="A12" s="10" t="s">
        <v>179</v>
      </c>
      <c r="B12" s="10" t="s">
        <v>102</v>
      </c>
      <c r="C12" s="10" t="s">
        <v>180</v>
      </c>
      <c r="D12" s="10" t="s">
        <v>178</v>
      </c>
      <c r="E12" s="10" t="s">
        <v>101</v>
      </c>
      <c r="F12" s="10" t="n">
        <v>18</v>
      </c>
      <c r="G12" s="10" t="n">
        <v>13</v>
      </c>
      <c r="H12" s="10" t="n">
        <v>4</v>
      </c>
      <c r="I12" s="15" t="n">
        <f aca="false">F12-H12</f>
        <v>14</v>
      </c>
    </row>
    <row r="13" customFormat="false" ht="15" hidden="false" customHeight="false" outlineLevel="0" collapsed="false">
      <c r="A13" s="9" t="s">
        <v>181</v>
      </c>
      <c r="B13" s="9" t="s">
        <v>104</v>
      </c>
      <c r="C13" s="9" t="s">
        <v>182</v>
      </c>
      <c r="D13" s="9" t="s">
        <v>183</v>
      </c>
      <c r="E13" s="9" t="s">
        <v>107</v>
      </c>
      <c r="F13" s="9" t="n">
        <v>41</v>
      </c>
      <c r="G13" s="9" t="n">
        <v>29</v>
      </c>
      <c r="H13" s="9" t="n">
        <v>10</v>
      </c>
      <c r="I13" s="15" t="n">
        <f aca="false">F13-H13</f>
        <v>31</v>
      </c>
    </row>
    <row r="14" customFormat="false" ht="15" hidden="false" customHeight="false" outlineLevel="0" collapsed="false">
      <c r="A14" s="10" t="s">
        <v>184</v>
      </c>
      <c r="B14" s="10" t="s">
        <v>108</v>
      </c>
      <c r="C14" s="10" t="s">
        <v>185</v>
      </c>
      <c r="D14" s="10" t="s">
        <v>164</v>
      </c>
      <c r="E14" s="10" t="s">
        <v>80</v>
      </c>
      <c r="F14" s="10" t="n">
        <v>29</v>
      </c>
      <c r="G14" s="10" t="n">
        <v>20</v>
      </c>
      <c r="H14" s="10" t="n">
        <v>7</v>
      </c>
      <c r="I14" s="15" t="n">
        <f aca="false">F14-H14</f>
        <v>22</v>
      </c>
    </row>
    <row r="15" customFormat="false" ht="15" hidden="false" customHeight="false" outlineLevel="0" collapsed="false">
      <c r="A15" s="9" t="s">
        <v>186</v>
      </c>
      <c r="B15" s="9" t="s">
        <v>110</v>
      </c>
      <c r="C15" s="9" t="s">
        <v>187</v>
      </c>
      <c r="D15" s="9" t="s">
        <v>164</v>
      </c>
      <c r="E15" s="9" t="s">
        <v>113</v>
      </c>
      <c r="F15" s="9" t="n">
        <v>7</v>
      </c>
      <c r="G15" s="9" t="n">
        <v>5</v>
      </c>
      <c r="H15" s="9" t="n">
        <v>2</v>
      </c>
      <c r="I15" s="15" t="n">
        <f aca="false">F15-H15</f>
        <v>5</v>
      </c>
    </row>
    <row r="16" customFormat="false" ht="15" hidden="false" customHeight="false" outlineLevel="0" collapsed="false">
      <c r="A16" s="10" t="s">
        <v>188</v>
      </c>
      <c r="B16" s="10" t="s">
        <v>114</v>
      </c>
      <c r="C16" s="10" t="s">
        <v>189</v>
      </c>
      <c r="D16" s="10" t="s">
        <v>190</v>
      </c>
      <c r="E16" s="10" t="s">
        <v>113</v>
      </c>
      <c r="F16" s="10" t="n">
        <v>74</v>
      </c>
      <c r="G16" s="10" t="n">
        <v>52</v>
      </c>
      <c r="H16" s="10" t="n">
        <v>18</v>
      </c>
      <c r="I16" s="15" t="n">
        <f aca="false">F16-H16</f>
        <v>56</v>
      </c>
    </row>
    <row r="17" customFormat="false" ht="15" hidden="false" customHeight="false" outlineLevel="0" collapsed="false">
      <c r="A17" s="9" t="s">
        <v>191</v>
      </c>
      <c r="B17" s="9" t="s">
        <v>118</v>
      </c>
      <c r="C17" s="9" t="s">
        <v>192</v>
      </c>
      <c r="D17" s="9" t="s">
        <v>190</v>
      </c>
      <c r="E17" s="9" t="s">
        <v>113</v>
      </c>
      <c r="F17" s="9" t="n">
        <v>61</v>
      </c>
      <c r="G17" s="9" t="n">
        <v>43</v>
      </c>
      <c r="H17" s="9" t="n">
        <v>15</v>
      </c>
      <c r="I17" s="15" t="n">
        <f aca="false">F17-H17</f>
        <v>46</v>
      </c>
    </row>
    <row r="18" customFormat="false" ht="15" hidden="false" customHeight="false" outlineLevel="0" collapsed="false">
      <c r="A18" s="10" t="s">
        <v>193</v>
      </c>
      <c r="B18" s="10" t="s">
        <v>120</v>
      </c>
      <c r="C18" s="10" t="s">
        <v>194</v>
      </c>
      <c r="D18" s="10" t="s">
        <v>190</v>
      </c>
      <c r="E18" s="10" t="s">
        <v>113</v>
      </c>
      <c r="F18" s="10" t="n">
        <v>22</v>
      </c>
      <c r="G18" s="10" t="n">
        <v>15</v>
      </c>
      <c r="H18" s="10" t="n">
        <v>6</v>
      </c>
      <c r="I18" s="15" t="n">
        <f aca="false">F18-H18</f>
        <v>16</v>
      </c>
    </row>
    <row r="19" customFormat="false" ht="15" hidden="false" customHeight="false" outlineLevel="0" collapsed="false">
      <c r="A19" s="9" t="s">
        <v>195</v>
      </c>
      <c r="B19" s="9" t="s">
        <v>122</v>
      </c>
      <c r="C19" s="9" t="s">
        <v>196</v>
      </c>
      <c r="D19" s="9" t="s">
        <v>190</v>
      </c>
      <c r="E19" s="9" t="s">
        <v>113</v>
      </c>
      <c r="F19" s="9" t="n">
        <v>33</v>
      </c>
      <c r="G19" s="9" t="n">
        <v>23</v>
      </c>
      <c r="H19" s="9" t="n">
        <v>8</v>
      </c>
      <c r="I19" s="15" t="n">
        <f aca="false">F19-H19</f>
        <v>25</v>
      </c>
    </row>
    <row r="20" customFormat="false" ht="15" hidden="false" customHeight="false" outlineLevel="0" collapsed="false">
      <c r="A20" s="10" t="s">
        <v>197</v>
      </c>
      <c r="B20" s="10" t="s">
        <v>125</v>
      </c>
      <c r="C20" s="10" t="s">
        <v>198</v>
      </c>
      <c r="D20" s="10" t="s">
        <v>190</v>
      </c>
      <c r="E20" s="10" t="s">
        <v>127</v>
      </c>
      <c r="F20" s="10" t="n">
        <v>9</v>
      </c>
      <c r="G20" s="10" t="n">
        <v>6</v>
      </c>
      <c r="H20" s="10" t="n">
        <v>2</v>
      </c>
      <c r="I20" s="15" t="n">
        <f aca="false">F20-H20</f>
        <v>7</v>
      </c>
    </row>
    <row r="21" customFormat="false" ht="15" hidden="false" customHeight="false" outlineLevel="0" collapsed="false">
      <c r="C21" s="12" t="s">
        <v>128</v>
      </c>
      <c r="F21" s="13" t="n">
        <f aca="false">SUM(F5:F20)</f>
        <v>565</v>
      </c>
      <c r="G21" s="13" t="n">
        <f aca="false">SUM(G5:G20)</f>
        <v>396</v>
      </c>
      <c r="H21" s="13" t="n">
        <f aca="false">SUM(H5:H20)</f>
        <v>139</v>
      </c>
      <c r="I21" s="13" t="n">
        <f aca="false">SUM(I5:I20)</f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6.1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2" t="s">
        <v>200</v>
      </c>
    </row>
    <row r="5" customFormat="false" ht="30" hidden="false" customHeight="true" outlineLevel="0" collapsed="false">
      <c r="A5" s="8" t="s">
        <v>64</v>
      </c>
      <c r="B5" s="8" t="s">
        <v>201</v>
      </c>
      <c r="C5" s="8" t="s">
        <v>202</v>
      </c>
      <c r="D5" s="8" t="s">
        <v>203</v>
      </c>
      <c r="E5" s="8" t="s">
        <v>71</v>
      </c>
      <c r="F5" s="8" t="s">
        <v>72</v>
      </c>
      <c r="G5" s="8" t="s">
        <v>73</v>
      </c>
    </row>
    <row r="6" customFormat="false" ht="15" hidden="false" customHeight="false" outlineLevel="0" collapsed="false">
      <c r="A6" s="16" t="s">
        <v>39</v>
      </c>
      <c r="B6" s="17" t="n">
        <f aca="false">COUNTIF('Synergy Register'!$C$5:$C$20,$A6)</f>
        <v>3</v>
      </c>
      <c r="C6" s="17" t="n">
        <f aca="false">SUMIF('Synergy Register'!$C$5:$C$20,$A6,'Synergy Register'!$G$5:$G$20)</f>
        <v>823</v>
      </c>
      <c r="D6" s="17" t="n">
        <f aca="false">SUMIF('Synergy Register'!$C$5:$C$20,$A6,'Synergy Register'!$H$5:$H$20)</f>
        <v>428</v>
      </c>
      <c r="E6" s="18" t="n">
        <f aca="false">IFERROR($D6/$C6,"")</f>
        <v>0.520048602673147</v>
      </c>
      <c r="F6" s="17" t="n">
        <f aca="false">SUMIF('Synergy Register'!$C$5:$C$20,$A6,'Synergy Register'!$K$5:$K$20)</f>
        <v>171</v>
      </c>
      <c r="G6" s="17" t="n">
        <f aca="false">SUMIF('Synergy Register'!$C$5:$C$20,$A6,'Synergy Register'!$L$5:$L$20)</f>
        <v>85</v>
      </c>
    </row>
    <row r="7" customFormat="false" ht="15" hidden="false" customHeight="false" outlineLevel="0" collapsed="false">
      <c r="A7" s="16" t="s">
        <v>32</v>
      </c>
      <c r="B7" s="17" t="n">
        <f aca="false">COUNTIF('Synergy Register'!$C$5:$C$20,$A7)</f>
        <v>3</v>
      </c>
      <c r="C7" s="17" t="n">
        <f aca="false">SUMIF('Synergy Register'!$C$5:$C$20,$A7,'Synergy Register'!$G$5:$G$20)</f>
        <v>412</v>
      </c>
      <c r="D7" s="17" t="n">
        <f aca="false">SUMIF('Synergy Register'!$C$5:$C$20,$A7,'Synergy Register'!$H$5:$H$20)</f>
        <v>224</v>
      </c>
      <c r="E7" s="18" t="n">
        <f aca="false">IFERROR($D7/$C7,"")</f>
        <v>0.54368932038835</v>
      </c>
      <c r="F7" s="17" t="n">
        <f aca="false">SUMIF('Synergy Register'!$C$5:$C$20,$A7,'Synergy Register'!$K$5:$K$20)</f>
        <v>86</v>
      </c>
      <c r="G7" s="17" t="n">
        <f aca="false">SUMIF('Synergy Register'!$C$5:$C$20,$A7,'Synergy Register'!$L$5:$L$20)</f>
        <v>90</v>
      </c>
    </row>
    <row r="8" customFormat="false" ht="15" hidden="false" customHeight="false" outlineLevel="0" collapsed="false">
      <c r="A8" s="16" t="s">
        <v>47</v>
      </c>
      <c r="B8" s="17" t="n">
        <f aca="false">COUNTIF('Synergy Register'!$C$5:$C$20,$A8)</f>
        <v>2</v>
      </c>
      <c r="C8" s="17" t="n">
        <f aca="false">SUMIF('Synergy Register'!$C$5:$C$20,$A8,'Synergy Register'!$G$5:$G$20)</f>
        <v>414</v>
      </c>
      <c r="D8" s="17" t="n">
        <f aca="false">SUMIF('Synergy Register'!$C$5:$C$20,$A8,'Synergy Register'!$H$5:$H$20)</f>
        <v>195</v>
      </c>
      <c r="E8" s="18" t="n">
        <f aca="false">IFERROR($D8/$C8,"")</f>
        <v>0.471014492753623</v>
      </c>
      <c r="F8" s="17" t="n">
        <f aca="false">SUMIF('Synergy Register'!$C$5:$C$20,$A8,'Synergy Register'!$K$5:$K$20)</f>
        <v>88</v>
      </c>
      <c r="G8" s="17" t="n">
        <f aca="false">SUMIF('Synergy Register'!$C$5:$C$20,$A8,'Synergy Register'!$L$5:$L$20)</f>
        <v>114</v>
      </c>
    </row>
    <row r="9" customFormat="false" ht="15" hidden="false" customHeight="false" outlineLevel="0" collapsed="false">
      <c r="A9" s="16" t="s">
        <v>53</v>
      </c>
      <c r="B9" s="17" t="n">
        <f aca="false">COUNTIF('Synergy Register'!$C$5:$C$20,$A9)</f>
        <v>1</v>
      </c>
      <c r="C9" s="17" t="n">
        <f aca="false">SUMIF('Synergy Register'!$C$5:$C$20,$A9,'Synergy Register'!$G$5:$G$20)</f>
        <v>134</v>
      </c>
      <c r="D9" s="17" t="n">
        <f aca="false">SUMIF('Synergy Register'!$C$5:$C$20,$A9,'Synergy Register'!$H$5:$H$20)</f>
        <v>52</v>
      </c>
      <c r="E9" s="18" t="n">
        <f aca="false">IFERROR($D9/$C9,"")</f>
        <v>0.388059701492537</v>
      </c>
      <c r="F9" s="17" t="n">
        <f aca="false">SUMIF('Synergy Register'!$C$5:$C$20,$A9,'Synergy Register'!$K$5:$K$20)</f>
        <v>22</v>
      </c>
      <c r="G9" s="17" t="n">
        <f aca="false">SUMIF('Synergy Register'!$C$5:$C$20,$A9,'Synergy Register'!$L$5:$L$20)</f>
        <v>41</v>
      </c>
    </row>
    <row r="10" customFormat="false" ht="15" hidden="false" customHeight="false" outlineLevel="0" collapsed="false">
      <c r="A10" s="16" t="s">
        <v>57</v>
      </c>
      <c r="B10" s="17" t="n">
        <f aca="false">COUNTIF('Synergy Register'!$C$5:$C$20,$A10)</f>
        <v>2</v>
      </c>
      <c r="C10" s="17" t="n">
        <f aca="false">SUMIF('Synergy Register'!$C$5:$C$20,$A10,'Synergy Register'!$G$5:$G$20)</f>
        <v>159</v>
      </c>
      <c r="D10" s="17" t="n">
        <f aca="false">SUMIF('Synergy Register'!$C$5:$C$20,$A10,'Synergy Register'!$H$5:$H$20)</f>
        <v>62</v>
      </c>
      <c r="E10" s="18" t="n">
        <f aca="false">IFERROR($D10/$C10,"")</f>
        <v>0.389937106918239</v>
      </c>
      <c r="F10" s="17" t="n">
        <f aca="false">SUMIF('Synergy Register'!$C$5:$C$20,$A10,'Synergy Register'!$K$5:$K$20)</f>
        <v>27</v>
      </c>
      <c r="G10" s="17" t="n">
        <f aca="false">SUMIF('Synergy Register'!$C$5:$C$20,$A10,'Synergy Register'!$L$5:$L$20)</f>
        <v>36</v>
      </c>
    </row>
    <row r="11" customFormat="false" ht="15" hidden="false" customHeight="false" outlineLevel="0" collapsed="false">
      <c r="A11" s="16" t="s">
        <v>116</v>
      </c>
      <c r="B11" s="17" t="n">
        <f aca="false">COUNTIF('Synergy Register'!$C$5:$C$20,$A11)</f>
        <v>3</v>
      </c>
      <c r="C11" s="17" t="n">
        <f aca="false">SUMIF('Synergy Register'!$C$5:$C$20,$A11,'Synergy Register'!$G$5:$G$20)</f>
        <v>4680</v>
      </c>
      <c r="D11" s="17" t="n">
        <f aca="false">SUMIF('Synergy Register'!$C$5:$C$20,$A11,'Synergy Register'!$H$5:$H$20)</f>
        <v>1248</v>
      </c>
      <c r="E11" s="18" t="n">
        <f aca="false">IFERROR($D11/$C11,"")</f>
        <v>0.266666666666667</v>
      </c>
      <c r="F11" s="17" t="n">
        <f aca="false">SUMIF('Synergy Register'!$C$5:$C$20,$A11,'Synergy Register'!$K$5:$K$20)</f>
        <v>302</v>
      </c>
      <c r="G11" s="17" t="n">
        <f aca="false">SUMIF('Synergy Register'!$C$5:$C$20,$A11,'Synergy Register'!$L$5:$L$20)</f>
        <v>157</v>
      </c>
    </row>
    <row r="12" customFormat="false" ht="15" hidden="false" customHeight="false" outlineLevel="0" collapsed="false">
      <c r="A12" s="16" t="s">
        <v>124</v>
      </c>
      <c r="B12" s="17" t="n">
        <f aca="false">COUNTIF('Synergy Register'!$C$5:$C$20,$A12)</f>
        <v>2</v>
      </c>
      <c r="C12" s="17" t="n">
        <f aca="false">SUMIF('Synergy Register'!$C$5:$C$20,$A12,'Synergy Register'!$G$5:$G$20)</f>
        <v>630</v>
      </c>
      <c r="D12" s="17" t="n">
        <f aca="false">SUMIF('Synergy Register'!$C$5:$C$20,$A12,'Synergy Register'!$H$5:$H$20)</f>
        <v>145</v>
      </c>
      <c r="E12" s="18" t="n">
        <f aca="false">IFERROR($D12/$C12,"")</f>
        <v>0.23015873015873</v>
      </c>
      <c r="F12" s="17" t="n">
        <f aca="false">SUMIF('Synergy Register'!$C$5:$C$20,$A12,'Synergy Register'!$K$5:$K$20)</f>
        <v>31</v>
      </c>
      <c r="G12" s="17" t="n">
        <f aca="false">SUMIF('Synergy Register'!$C$5:$C$20,$A12,'Synergy Register'!$L$5:$L$20)</f>
        <v>42</v>
      </c>
    </row>
    <row r="13" customFormat="false" ht="15" hidden="false" customHeight="false" outlineLevel="0" collapsed="false">
      <c r="A13" s="12" t="s">
        <v>128</v>
      </c>
      <c r="B13" s="13" t="n">
        <f aca="false">SUM(B6:B12)</f>
        <v>16</v>
      </c>
      <c r="C13" s="13" t="n">
        <f aca="false">SUM(C6:C12)</f>
        <v>7252</v>
      </c>
      <c r="D13" s="13" t="n">
        <f aca="false">SUM(D6:D12)</f>
        <v>2354</v>
      </c>
      <c r="E13" s="14" t="n">
        <f aca="false">IFERROR($D13/$C13,"")</f>
        <v>0.324600110314396</v>
      </c>
      <c r="F13" s="13" t="n">
        <f aca="false">SUM(F6:F12)</f>
        <v>727</v>
      </c>
      <c r="G13" s="13" t="n">
        <f aca="false">SUM(G6:G12)</f>
        <v>565</v>
      </c>
    </row>
    <row r="15" customFormat="false" ht="15" hidden="false" customHeight="false" outlineLevel="0" collapsed="false">
      <c r="A15" s="3" t="s">
        <v>204</v>
      </c>
    </row>
    <row r="16" customFormat="false" ht="15" hidden="false" customHeight="false" outlineLevel="0" collapsed="false">
      <c r="A16" s="16" t="s">
        <v>205</v>
      </c>
      <c r="B16" s="17" t="n">
        <v>8000</v>
      </c>
    </row>
    <row r="17" customFormat="false" ht="15" hidden="false" customHeight="false" outlineLevel="0" collapsed="false">
      <c r="A17" s="16" t="s">
        <v>206</v>
      </c>
      <c r="B17" s="17" t="n">
        <f aca="false">$C$13</f>
        <v>7252</v>
      </c>
    </row>
    <row r="18" customFormat="false" ht="15" hidden="false" customHeight="false" outlineLevel="0" collapsed="false">
      <c r="A18" s="16" t="s">
        <v>207</v>
      </c>
      <c r="B18" s="17" t="n">
        <f aca="false">$B$16-$B$17</f>
        <v>748</v>
      </c>
    </row>
    <row r="19" customFormat="false" ht="15" hidden="false" customHeight="false" outlineLevel="0" collapsed="false">
      <c r="A19" s="16" t="s">
        <v>208</v>
      </c>
      <c r="B19" s="17" t="n">
        <f aca="false">$D$13</f>
        <v>2354</v>
      </c>
    </row>
    <row r="20" customFormat="false" ht="15" hidden="false" customHeight="false" outlineLevel="0" collapsed="false">
      <c r="A20" s="16" t="s">
        <v>209</v>
      </c>
      <c r="B20" s="17" t="n">
        <f aca="false">SUMIF('Synergy Register'!$N$5:$N$20,"Yes",'Synergy Register'!$H$5:$H$20)</f>
        <v>711</v>
      </c>
    </row>
    <row r="21" customFormat="false" ht="15" hidden="false" customHeight="false" outlineLevel="0" collapsed="false">
      <c r="A21" s="16" t="s">
        <v>210</v>
      </c>
      <c r="B21" s="17" t="n">
        <f aca="false">$B$19-$B$20</f>
        <v>1643</v>
      </c>
    </row>
    <row r="22" customFormat="false" ht="15" hidden="false" customHeight="false" outlineLevel="0" collapsed="false">
      <c r="A22" s="16" t="s">
        <v>211</v>
      </c>
      <c r="B22" s="17" t="n">
        <f aca="false">SUMIF('Synergy Register'!$D$5:$D$20,"Cost",'Synergy Register'!$G$5:$G$20)</f>
        <v>1942</v>
      </c>
    </row>
    <row r="23" customFormat="false" ht="15" hidden="false" customHeight="false" outlineLevel="0" collapsed="false">
      <c r="A23" s="16" t="s">
        <v>212</v>
      </c>
      <c r="B23" s="17" t="n">
        <f aca="false">SUMIF('Synergy Register'!$D$5:$D$20,"Revenue",'Synergy Register'!$G$5:$G$20)</f>
        <v>5310</v>
      </c>
    </row>
    <row r="24" customFormat="false" ht="15" hidden="false" customHeight="false" outlineLevel="0" collapsed="false">
      <c r="A24" s="16" t="s">
        <v>213</v>
      </c>
      <c r="B24" s="19" t="n">
        <f aca="false">IFERROR($B$23/$B$22,"")</f>
        <v>2.73429454170958</v>
      </c>
    </row>
    <row r="26" customFormat="false" ht="15" hidden="false" customHeight="false" outlineLevel="0" collapsed="false">
      <c r="A26" s="20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2026-07-30T14:55:32Z</dcterms:created>
  <dc:creator>openpyxl</dc:creator>
  <dc:description/>
  <dc:language>en-US</dc:language>
  <cp:lastModifiedBy/>
  <dcterms:modified xsi:type="dcterms:W3CDTF">2026-07-30T14:55:32Z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