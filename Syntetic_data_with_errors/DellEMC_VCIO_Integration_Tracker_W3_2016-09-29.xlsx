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e" sheetId="1" state="visible" r:id="rId1"/>
    <sheet xmlns:r="http://schemas.openxmlformats.org/officeDocument/2006/relationships" name="Massnahmenplan" sheetId="2" state="visible" r:id="rId2"/>
    <sheet xmlns:r="http://schemas.openxmlformats.org/officeDocument/2006/relationships" name="Meilensteine" sheetId="3" state="visible" r:id="rId3"/>
    <sheet xmlns:r="http://schemas.openxmlformats.org/officeDocument/2006/relationships" name="Beschlussregister" sheetId="4" state="visible" r:id="rId4"/>
    <sheet xmlns:r="http://schemas.openxmlformats.org/officeDocument/2006/relationships" name="Massnahmenverfolgung" sheetId="5" state="visible" r:id="rId5"/>
    <sheet xmlns:r="http://schemas.openxmlformats.org/officeDocument/2006/relationships" name="Abhaengigkeiten" sheetId="6" state="visible" r:id="rId6"/>
    <sheet xmlns:r="http://schemas.openxmlformats.org/officeDocument/2006/relationships" name="Auswertun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.mm\.yyyy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46A38"/>
      <sz val="13"/>
    </font>
    <font>
      <name val="Arial"/>
      <charset val="1"/>
      <family val="0"/>
      <color rgb="FF75787B"/>
      <sz val="8.5"/>
    </font>
    <font>
      <name val="Arial"/>
      <charset val="1"/>
      <family val="0"/>
      <b val="1"/>
      <color rgb="FF046A38"/>
      <sz val="11"/>
    </font>
    <font>
      <name val="Arial"/>
      <charset val="1"/>
      <family val="0"/>
      <sz val="9"/>
    </font>
    <font>
      <name val="Arial"/>
      <charset val="1"/>
      <family val="0"/>
      <color rgb="FF75787B"/>
      <sz val="9"/>
    </font>
    <font>
      <name val="Arial"/>
      <charset val="1"/>
      <family val="0"/>
      <i val="1"/>
      <color rgb="FF75787B"/>
      <sz val="8.5"/>
    </font>
    <font>
      <name val="Arial"/>
      <charset val="1"/>
      <family val="0"/>
      <b val="1"/>
      <color rgb="FFFFFFFF"/>
      <sz val="8.5"/>
    </font>
    <font>
      <name val="Arial"/>
      <charset val="1"/>
      <family val="0"/>
      <b val="1"/>
      <color rgb="FFDA291C"/>
      <sz val="9"/>
    </font>
    <font>
      <name val="Arial"/>
      <charset val="1"/>
      <family val="0"/>
      <b val="1"/>
      <color rgb="FFED8B00"/>
      <sz val="9"/>
    </font>
    <font>
      <name val="Arial"/>
      <charset val="1"/>
      <family val="0"/>
      <b val="1"/>
      <sz val="9"/>
    </font>
  </fonts>
  <fills count="5">
    <fill>
      <patternFill/>
    </fill>
    <fill>
      <patternFill patternType="gray125"/>
    </fill>
    <fill>
      <patternFill patternType="solid">
        <fgColor rgb="FF046A38"/>
        <bgColor rgb="FF008080"/>
      </patternFill>
    </fill>
    <fill>
      <patternFill patternType="solid">
        <fgColor rgb="FFF7F9F3"/>
        <bgColor rgb="FFF1F6E4"/>
      </patternFill>
    </fill>
    <fill>
      <patternFill patternType="solid">
        <fgColor rgb="FFF1F6E4"/>
        <bgColor rgb="FFF7F9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4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4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46A38"/>
      <rgbColor rgb="FF000080"/>
      <rgbColor rgb="FF808000"/>
      <rgbColor rgb="FF800080"/>
      <rgbColor rgb="FF008080"/>
      <rgbColor rgb="FFBFBFBF"/>
      <rgbColor rgb="FF75787B"/>
      <rgbColor rgb="FF9999FF"/>
      <rgbColor rgb="FF993366"/>
      <rgbColor rgb="FFF1F6E4"/>
      <rgbColor rgb="FFF7F9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D8B00"/>
      <rgbColor rgb="FFFF6600"/>
      <rgbColor rgb="FF666699"/>
      <rgbColor rgb="FF969696"/>
      <rgbColor rgb="FF003366"/>
      <rgbColor rgb="FF339966"/>
      <rgbColor rgb="FF003300"/>
      <rgbColor rgb="FF333300"/>
      <rgbColor rgb="FFDA291C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22" min="1" max="1"/>
    <col width="15" customWidth="1" style="22" min="2" max="8"/>
  </cols>
  <sheetData>
    <row r="1" ht="16.15" customHeight="1" s="23">
      <c r="A1" s="24" t="inlineStr">
        <is>
          <t>Dell Technologies Integration - Value Creation Integration Office (VCIO)</t>
        </is>
      </c>
    </row>
    <row r="2" ht="15" customHeight="1" s="23">
      <c r="A2" s="25" t="inlineStr">
        <is>
          <t>Dell Inc. and EMC Corporation  |  Reporting week W3 (26 - 30 September 2016)  |  Day 22 after Day 1  |  Close 7 September 2016</t>
        </is>
      </c>
    </row>
    <row r="4" ht="15" customHeight="1" s="23">
      <c r="A4" s="26" t="inlineStr">
        <is>
          <t>How to use this workbook</t>
        </is>
      </c>
    </row>
    <row r="5" ht="25.5" customHeight="1" s="23">
      <c r="A5" s="27" t="inlineStr">
        <is>
          <t>1. Register Massnahmenplan: je Zeile eine Aufgabe. Fuehrende Quelle fuer Aufgaben und Termine nach Beschluss B-02.</t>
        </is>
      </c>
    </row>
    <row r="6" ht="25.5" customHeight="1" s="23">
      <c r="A6" s="27" t="inlineStr">
        <is>
          <t>2. Register Meilensteine: Basistermin bleibt nach Freigabe unveraendert. Verschiebungen laufen ueber den Prognosetermin, die Abweichung rechnet sich.</t>
        </is>
      </c>
    </row>
    <row r="7" ht="25.5" customHeight="1" s="23">
      <c r="A7" s="27" t="inlineStr">
        <is>
          <t>3. Register Beschlussregister und Massnahmenverfolgung: Beschluesse und offene Punkte aus VCIO Weekly und Steering Committee.</t>
        </is>
      </c>
    </row>
    <row r="8" ht="25.5" customHeight="1" s="23">
      <c r="A8" s="27" t="inlineStr">
        <is>
          <t>4. Register Abhaengigkeiten: jede Uebergabe zwischen Teilprojekten muss nach Beschluss B-03 von beiden Leitungen bestaetigt sein.</t>
        </is>
      </c>
    </row>
    <row r="9" ht="25.5" customHeight="1" s="23">
      <c r="A9" s="27" t="inlineStr">
        <is>
          <t>5. Register Auswertung rechnet automatisch. Formeln bitte nicht ueberschreiben.</t>
        </is>
      </c>
    </row>
    <row r="11" ht="15" customHeight="1" s="23">
      <c r="A11" s="26" t="inlineStr">
        <is>
          <t>Conventions and assumptions</t>
        </is>
      </c>
    </row>
    <row r="12" ht="25.5" customHeight="1" s="23">
      <c r="A12" s="28" t="inlineStr">
        <is>
          <t>Berichtswoche W3 (26 - 30 September 2016), Tag 22 nach Day 1 (07.09.2016). Day 100 ist der 16.12.2016.</t>
        </is>
      </c>
    </row>
    <row r="13" ht="25.5" customHeight="1" s="23">
      <c r="A13" s="28" t="inlineStr">
        <is>
          <t>Datumsformat durchgaengig TT.MM.JJJJ. Fortschritt in Prozent als ganze Zahl.</t>
        </is>
      </c>
    </row>
    <row r="14" ht="25.5" customHeight="1" s="23">
      <c r="A14" s="28" t="inlineStr">
        <is>
          <t>Sieben Teilprojekte berichten an das Steering Committee. Das Programm fuehrt insgesamt more than 20 Teilprojekte.</t>
        </is>
      </c>
    </row>
    <row r="15" ht="25.5" customHeight="1" s="23">
      <c r="A15" s="28" t="inlineStr">
        <is>
          <t>Bei Abweichungen zwischen dieser Datei und einer Statusfolie gilt diese Datei.</t>
        </is>
      </c>
    </row>
    <row r="17" ht="15" customHeight="1" s="23">
      <c r="A17" s="26" t="inlineStr">
        <is>
          <t>Sources for the case anchoring</t>
        </is>
      </c>
    </row>
    <row r="18" ht="15" customHeight="1" s="23">
      <c r="A18" s="25" t="inlineStr">
        <is>
          <t>EMC Corp, Form 8-K Exhibit 99.1, filed 7 September 2016 (SEC EDGAR)</t>
        </is>
      </c>
    </row>
    <row r="19" ht="15" customHeight="1" s="23">
      <c r="A19" s="25" t="inlineStr">
        <is>
          <t>Deloitte Global, 'Dell, EMC, and Deloitte create the next tech icon: a technology M&amp;A case study', deloitte.com</t>
        </is>
      </c>
    </row>
    <row r="20" ht="15" customHeight="1" s="23">
      <c r="A20" s="25" t="inlineStr">
        <is>
          <t>Dell Technologies press release, 7 September 2016</t>
        </is>
      </c>
    </row>
    <row r="22" ht="15" customHeight="1" s="23">
      <c r="A22" s="29" t="inlineStr">
        <is>
          <t>Synthetic workbook. All operational names, figures, risks and synergy values are invented and internally consistent; they are not a representation of what any party actually did.</t>
        </is>
      </c>
    </row>
  </sheetData>
  <mergeCells count="13">
    <mergeCell ref="A9:H9"/>
    <mergeCell ref="A18:H18"/>
    <mergeCell ref="A12:H12"/>
    <mergeCell ref="A15:H15"/>
    <mergeCell ref="A7:H7"/>
    <mergeCell ref="A20:H20"/>
    <mergeCell ref="A13:H13"/>
    <mergeCell ref="A14:H14"/>
    <mergeCell ref="A19:H19"/>
    <mergeCell ref="A5:H5"/>
    <mergeCell ref="A8:H8"/>
    <mergeCell ref="A6:H6"/>
    <mergeCell ref="A22:H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22" min="1" max="1"/>
    <col width="52" customWidth="1" style="22" min="2" max="2"/>
    <col width="13" customWidth="1" style="22" min="3" max="3"/>
    <col width="18" customWidth="1" style="22" min="4" max="4"/>
    <col width="12" customWidth="1" style="22" min="5" max="5"/>
    <col width="13" customWidth="1" style="22" min="6" max="6"/>
    <col width="12" customWidth="1" style="22" min="7" max="7"/>
    <col width="11" customWidth="1" style="22" min="8" max="8"/>
    <col width="13" customWidth="1" style="22" min="9" max="9"/>
    <col width="30" customWidth="1" style="22" min="10" max="10"/>
  </cols>
  <sheetData>
    <row r="1" ht="16.15" customHeight="1" s="23">
      <c r="A1" s="24" t="inlineStr">
        <is>
          <t>Massnahmenplan (Master Task List)</t>
        </is>
      </c>
    </row>
    <row r="2" ht="15" customHeight="1" s="23">
      <c r="A2" s="25" t="inlineStr">
        <is>
          <t>Stand 29.09.2016  |  38 Aufgaben  |  Verantwortlich: Value Creation Integration Office (VCIO)</t>
        </is>
      </c>
    </row>
    <row r="4" ht="30" customHeight="1" s="23">
      <c r="A4" s="30" t="inlineStr">
        <is>
          <t>ID</t>
        </is>
      </c>
      <c r="B4" s="30" t="inlineStr">
        <is>
          <t>Aufgabe</t>
        </is>
      </c>
      <c r="C4" s="30" t="inlineStr">
        <is>
          <t>Teilprojekt</t>
        </is>
      </c>
      <c r="D4" s="30" t="inlineStr">
        <is>
          <t>Verantwortlich</t>
        </is>
      </c>
      <c r="E4" s="30" t="inlineStr">
        <is>
          <t>Faellig am</t>
        </is>
      </c>
      <c r="F4" s="30" t="inlineStr">
        <is>
          <t>Status</t>
        </is>
      </c>
      <c r="G4" s="30" t="inlineStr">
        <is>
          <t>Fortschritt %</t>
        </is>
      </c>
      <c r="H4" s="30" t="inlineStr">
        <is>
          <t>Prioritaet</t>
        </is>
      </c>
      <c r="I4" s="30" t="inlineStr">
        <is>
          <t>Abhaengig von</t>
        </is>
      </c>
      <c r="J4" s="30" t="inlineStr">
        <is>
          <t>Kommentar</t>
        </is>
      </c>
    </row>
    <row r="5" ht="22.35" customHeight="1" s="23">
      <c r="A5" s="31" t="inlineStr">
        <is>
          <t>A-001</t>
        </is>
      </c>
      <c r="B5" s="31" t="inlineStr">
        <is>
          <t>Kontenplan des Zielunternehmens auf den Konzernkontenplan abbilden</t>
        </is>
      </c>
      <c r="C5" s="31" t="inlineStr">
        <is>
          <t>WS1 Finanzen</t>
        </is>
      </c>
      <c r="D5" s="31" t="inlineStr">
        <is>
          <t>R. Whitfield</t>
        </is>
      </c>
      <c r="E5" s="32" t="n">
        <v>42646</v>
      </c>
      <c r="F5" s="31" t="inlineStr">
        <is>
          <t>In Arbeit</t>
        </is>
      </c>
      <c r="G5" s="31" t="n">
        <v>70</v>
      </c>
      <c r="H5" s="31" t="inlineStr">
        <is>
          <t>Hoch</t>
        </is>
      </c>
      <c r="I5" s="31" t="n"/>
      <c r="J5" s="31" t="inlineStr">
        <is>
          <t>Map EMC chart of accounts to the Dell group chart</t>
        </is>
      </c>
    </row>
    <row r="6" ht="22.35" customHeight="1" s="23">
      <c r="A6" s="33" t="inlineStr">
        <is>
          <t>A-002</t>
        </is>
      </c>
      <c r="B6" s="33" t="inlineStr">
        <is>
          <t>Abschlusskalender beider Gruppen angleichen</t>
        </is>
      </c>
      <c r="C6" s="33" t="inlineStr">
        <is>
          <t>WS1 Finanzen</t>
        </is>
      </c>
      <c r="D6" s="33" t="inlineStr">
        <is>
          <t>R. Whitfield</t>
        </is>
      </c>
      <c r="E6" s="34" t="n">
        <v>42643</v>
      </c>
      <c r="F6" s="33" t="inlineStr">
        <is>
          <t>In Arbeit</t>
        </is>
      </c>
      <c r="G6" s="33" t="n">
        <v>85</v>
      </c>
      <c r="H6" s="33" t="inlineStr">
        <is>
          <t>Hoch</t>
        </is>
      </c>
      <c r="I6" s="33" t="n"/>
      <c r="J6" s="33" t="inlineStr">
        <is>
          <t>Align statutory close calendar across both groups</t>
        </is>
      </c>
    </row>
    <row r="7" ht="22.35" customHeight="1" s="23">
      <c r="A7" s="31" t="inlineStr">
        <is>
          <t>A-003</t>
        </is>
      </c>
      <c r="B7" s="31" t="inlineStr">
        <is>
          <t>Konsolidierungskreis fuer das erste kombinierte Quartal festlegen</t>
        </is>
      </c>
      <c r="C7" s="31" t="inlineStr">
        <is>
          <t>WS1 Finanzen</t>
        </is>
      </c>
      <c r="D7" s="31" t="inlineStr">
        <is>
          <t>U. Hoffmeister</t>
        </is>
      </c>
      <c r="E7" s="32" t="n">
        <v>42657</v>
      </c>
      <c r="F7" s="31" t="inlineStr">
        <is>
          <t>Offen</t>
        </is>
      </c>
      <c r="G7" s="31" t="n">
        <v>20</v>
      </c>
      <c r="H7" s="31" t="inlineStr">
        <is>
          <t>Hoch</t>
        </is>
      </c>
      <c r="I7" s="31" t="inlineStr">
        <is>
          <t>A-012</t>
        </is>
      </c>
      <c r="J7" s="31" t="inlineStr">
        <is>
          <t>Define consolidation scope for the first combined quarter</t>
        </is>
      </c>
    </row>
    <row r="8" ht="22.35" customHeight="1" s="23">
      <c r="A8" s="33" t="inlineStr">
        <is>
          <t>A-004</t>
        </is>
      </c>
      <c r="B8" s="33" t="inlineStr">
        <is>
          <t>Datenpaket zur Kaufpreisallokation erstellen</t>
        </is>
      </c>
      <c r="C8" s="33" t="inlineStr">
        <is>
          <t>WS1 Finanzen</t>
        </is>
      </c>
      <c r="D8" s="33" t="inlineStr">
        <is>
          <t>R. Whitfield</t>
        </is>
      </c>
      <c r="E8" s="34" t="n">
        <v>42641</v>
      </c>
      <c r="F8" s="33" t="inlineStr">
        <is>
          <t>Erledigt</t>
        </is>
      </c>
      <c r="G8" s="33" t="n">
        <v>100</v>
      </c>
      <c r="H8" s="33" t="inlineStr">
        <is>
          <t>Hoch</t>
        </is>
      </c>
      <c r="I8" s="33" t="n"/>
      <c r="J8" s="33" t="inlineStr">
        <is>
          <t>Produce purchase price allocation input pack</t>
        </is>
      </c>
    </row>
    <row r="9" ht="22.35" customHeight="1" s="23">
      <c r="A9" s="31" t="inlineStr">
        <is>
          <t>A-005</t>
        </is>
      </c>
      <c r="B9" s="31" t="inlineStr">
        <is>
          <t>Konzerninterne Salden zum Stichtag abstimmen</t>
        </is>
      </c>
      <c r="C9" s="31" t="inlineStr">
        <is>
          <t>WS1 Finanzen</t>
        </is>
      </c>
      <c r="D9" s="31" t="inlineStr">
        <is>
          <t>U. Hoffmeister</t>
        </is>
      </c>
      <c r="E9" s="32" t="n">
        <v>42664</v>
      </c>
      <c r="F9" s="31" t="inlineStr">
        <is>
          <t>Offen</t>
        </is>
      </c>
      <c r="G9" s="31" t="n">
        <v>0</v>
      </c>
      <c r="H9" s="31" t="inlineStr">
        <is>
          <t>Mittel</t>
        </is>
      </c>
      <c r="I9" s="31" t="inlineStr">
        <is>
          <t>A-001</t>
        </is>
      </c>
      <c r="J9" s="31" t="inlineStr">
        <is>
          <t>Reconcile intercompany balances at close date</t>
        </is>
      </c>
    </row>
    <row r="10" ht="22.35" customHeight="1" s="23">
      <c r="A10" s="33" t="inlineStr">
        <is>
          <t>A-006</t>
        </is>
      </c>
      <c r="B10" s="33" t="inlineStr">
        <is>
          <t>Zielmodell fuer Treasury und Cash Pooling entwerfen</t>
        </is>
      </c>
      <c r="C10" s="33" t="inlineStr">
        <is>
          <t>WS1 Finanzen</t>
        </is>
      </c>
      <c r="D10" s="33" t="inlineStr">
        <is>
          <t>R. Whitfield</t>
        </is>
      </c>
      <c r="E10" s="34" t="n">
        <v>42678</v>
      </c>
      <c r="F10" s="33" t="inlineStr">
        <is>
          <t>Offen</t>
        </is>
      </c>
      <c r="G10" s="33" t="n">
        <v>10</v>
      </c>
      <c r="H10" s="33" t="inlineStr">
        <is>
          <t>Mittel</t>
        </is>
      </c>
      <c r="I10" s="33" t="n"/>
      <c r="J10" s="33" t="inlineStr">
        <is>
          <t>Draft treasury and cash pooling target model</t>
        </is>
      </c>
    </row>
    <row r="11" ht="22.35" customHeight="1" s="23">
      <c r="A11" s="31" t="inlineStr">
        <is>
          <t>A-011</t>
        </is>
      </c>
      <c r="B11" s="31" t="inlineStr">
        <is>
          <t>Steuerliche Pruefung der EMEA-Gesellschaftskette abschliessen</t>
        </is>
      </c>
      <c r="C11" s="31" t="inlineStr">
        <is>
          <t>WS2 Steuern</t>
        </is>
      </c>
      <c r="D11" s="31" t="inlineStr">
        <is>
          <t>N. Devereux</t>
        </is>
      </c>
      <c r="E11" s="32" t="n">
        <v>42650</v>
      </c>
      <c r="F11" s="35" t="inlineStr">
        <is>
          <t>Überfällig</t>
        </is>
      </c>
      <c r="G11" s="31" t="n">
        <v>55</v>
      </c>
      <c r="H11" s="31" t="inlineStr">
        <is>
          <t>Hoch</t>
        </is>
      </c>
      <c r="I11" s="31" t="n"/>
      <c r="J11" s="31" t="inlineStr">
        <is>
          <t>Complete tax review of the EMEA entity chain</t>
        </is>
      </c>
    </row>
    <row r="12" ht="22.35" customHeight="1" s="23">
      <c r="A12" s="33" t="inlineStr">
        <is>
          <t>A-012</t>
        </is>
      </c>
      <c r="B12" s="33" t="inlineStr">
        <is>
          <t>Plan zur gesellschaftsrechtlichen Straffung zur Freigabe vorlegen</t>
        </is>
      </c>
      <c r="C12" s="33" t="inlineStr">
        <is>
          <t>WS2 Steuern</t>
        </is>
      </c>
      <c r="D12" s="33" t="inlineStr">
        <is>
          <t>N. Devereux</t>
        </is>
      </c>
      <c r="E12" s="34" t="n">
        <v>42655</v>
      </c>
      <c r="F12" s="36" t="inlineStr">
        <is>
          <t>Blockiert</t>
        </is>
      </c>
      <c r="G12" s="33" t="n">
        <v>40</v>
      </c>
      <c r="H12" s="33" t="inlineStr">
        <is>
          <t>Hoch</t>
        </is>
      </c>
      <c r="I12" s="33" t="inlineStr">
        <is>
          <t>A-011</t>
        </is>
      </c>
      <c r="J12" s="33" t="inlineStr">
        <is>
          <t>Issue the legal entity rationalisation plan for approval</t>
        </is>
      </c>
    </row>
    <row r="13" ht="22.35" customHeight="1" s="23">
      <c r="A13" s="31" t="inlineStr">
        <is>
          <t>A-013</t>
        </is>
      </c>
      <c r="B13" s="31" t="inlineStr">
        <is>
          <t>Gliederung der Verrechnungspreisdokumentation entwerfen</t>
        </is>
      </c>
      <c r="C13" s="31" t="inlineStr">
        <is>
          <t>WS2 Steuern</t>
        </is>
      </c>
      <c r="D13" s="31" t="inlineStr">
        <is>
          <t>N. Devereux</t>
        </is>
      </c>
      <c r="E13" s="32" t="n">
        <v>42685</v>
      </c>
      <c r="F13" s="31" t="inlineStr">
        <is>
          <t>Offen</t>
        </is>
      </c>
      <c r="G13" s="31" t="n">
        <v>5</v>
      </c>
      <c r="H13" s="31" t="inlineStr">
        <is>
          <t>Mittel</t>
        </is>
      </c>
      <c r="I13" s="31" t="inlineStr">
        <is>
          <t>A-012</t>
        </is>
      </c>
      <c r="J13" s="31" t="inlineStr">
        <is>
          <t>Draft transfer pricing documentation outline</t>
        </is>
      </c>
    </row>
    <row r="14" ht="22.35" customHeight="1" s="23">
      <c r="A14" s="33" t="inlineStr">
        <is>
          <t>A-014</t>
        </is>
      </c>
      <c r="B14" s="33" t="inlineStr">
        <is>
          <t>Betriebsstaettenrisiko in zwoelf Jurisdiktionen bewerten</t>
        </is>
      </c>
      <c r="C14" s="33" t="inlineStr">
        <is>
          <t>WS2 Steuern</t>
        </is>
      </c>
      <c r="D14" s="33" t="inlineStr">
        <is>
          <t>N. Devereux</t>
        </is>
      </c>
      <c r="E14" s="34" t="n">
        <v>42671</v>
      </c>
      <c r="F14" s="33" t="inlineStr">
        <is>
          <t>In Arbeit</t>
        </is>
      </c>
      <c r="G14" s="33" t="n">
        <v>30</v>
      </c>
      <c r="H14" s="33" t="inlineStr">
        <is>
          <t>Mittel</t>
        </is>
      </c>
      <c r="I14" s="33" t="n"/>
      <c r="J14" s="33" t="inlineStr">
        <is>
          <t>Assess permanent establishment exposure in 12 jurisdictions</t>
        </is>
      </c>
    </row>
    <row r="15" ht="22.35" customHeight="1" s="23">
      <c r="A15" s="31" t="inlineStr">
        <is>
          <t>A-021</t>
        </is>
      </c>
      <c r="B15" s="31" t="inlineStr">
        <is>
          <t>Anwendungslandschaft beider Unternehmen vollstaendig erfassen</t>
        </is>
      </c>
      <c r="C15" s="31" t="inlineStr">
        <is>
          <t>WS3 IT</t>
        </is>
      </c>
      <c r="D15" s="31" t="inlineStr">
        <is>
          <t>T. Bergström</t>
        </is>
      </c>
      <c r="E15" s="32" t="n">
        <v>42636</v>
      </c>
      <c r="F15" s="31" t="inlineStr">
        <is>
          <t>Erledigt</t>
        </is>
      </c>
      <c r="G15" s="31" t="n">
        <v>100</v>
      </c>
      <c r="H15" s="31" t="inlineStr">
        <is>
          <t>Hoch</t>
        </is>
      </c>
      <c r="I15" s="31" t="n"/>
      <c r="J15" s="31" t="inlineStr">
        <is>
          <t>Complete application landscape inventory for both estates</t>
        </is>
      </c>
    </row>
    <row r="16" ht="22.35" customHeight="1" s="23">
      <c r="A16" s="33" t="inlineStr">
        <is>
          <t>A-022</t>
        </is>
      </c>
      <c r="B16" s="33" t="inlineStr">
        <is>
          <t>Zielsystem und Migrationspfad fuer das ERP festlegen</t>
        </is>
      </c>
      <c r="C16" s="33" t="inlineStr">
        <is>
          <t>WS3 IT</t>
        </is>
      </c>
      <c r="D16" s="33" t="inlineStr">
        <is>
          <t>K. Matsuda</t>
        </is>
      </c>
      <c r="E16" s="34" t="n">
        <v>42643</v>
      </c>
      <c r="F16" s="36" t="inlineStr">
        <is>
          <t>Überfällig</t>
        </is>
      </c>
      <c r="G16" s="33" t="n">
        <v>60</v>
      </c>
      <c r="H16" s="33" t="inlineStr">
        <is>
          <t>Hoch</t>
        </is>
      </c>
      <c r="I16" s="33" t="inlineStr">
        <is>
          <t>A-021</t>
        </is>
      </c>
      <c r="J16" s="33" t="inlineStr">
        <is>
          <t>Agree the ERP target system and migration path</t>
        </is>
      </c>
    </row>
    <row r="17" ht="22.35" customHeight="1" s="23">
      <c r="A17" s="31" t="inlineStr">
        <is>
          <t>A-023</t>
        </is>
      </c>
      <c r="B17" s="31" t="inlineStr">
        <is>
          <t>Materialstammdaten mit korrigiertem Feldmapping erneut extrahieren</t>
        </is>
      </c>
      <c r="C17" s="31" t="inlineStr">
        <is>
          <t>WS3 IT</t>
        </is>
      </c>
      <c r="D17" s="31" t="inlineStr">
        <is>
          <t>G. Aydin</t>
        </is>
      </c>
      <c r="E17" s="32" t="n">
        <v>42648</v>
      </c>
      <c r="F17" s="31" t="inlineStr">
        <is>
          <t>In Arbeit</t>
        </is>
      </c>
      <c r="G17" s="31" t="n">
        <v>45</v>
      </c>
      <c r="H17" s="31" t="inlineStr">
        <is>
          <t>Hoch</t>
        </is>
      </c>
      <c r="I17" s="31" t="inlineStr">
        <is>
          <t>A-022</t>
        </is>
      </c>
      <c r="J17" s="31" t="inlineStr">
        <is>
          <t>Re-extract material master with corrected field mapping</t>
        </is>
      </c>
    </row>
    <row r="18" ht="22.35" customHeight="1" s="23">
      <c r="A18" s="33" t="inlineStr">
        <is>
          <t>A-024</t>
        </is>
      </c>
      <c r="B18" s="33" t="inlineStr">
        <is>
          <t>Pilotgruppe auf die foederierte Anmeldung migrieren</t>
        </is>
      </c>
      <c r="C18" s="33" t="inlineStr">
        <is>
          <t>WS3 IT</t>
        </is>
      </c>
      <c r="D18" s="33" t="inlineStr">
        <is>
          <t>T. Bergström</t>
        </is>
      </c>
      <c r="E18" s="34" t="n">
        <v>42643</v>
      </c>
      <c r="F18" s="33" t="inlineStr">
        <is>
          <t>In Arbeit</t>
        </is>
      </c>
      <c r="G18" s="33" t="n">
        <v>80</v>
      </c>
      <c r="H18" s="33" t="inlineStr">
        <is>
          <t>Mittel</t>
        </is>
      </c>
      <c r="I18" s="33" t="n"/>
      <c r="J18" s="33" t="inlineStr">
        <is>
          <t>Migrate pilot population to federated single sign-on</t>
        </is>
      </c>
    </row>
    <row r="19" ht="22.35" customHeight="1" s="23">
      <c r="A19" s="31" t="inlineStr">
        <is>
          <t>A-025</t>
        </is>
      </c>
      <c r="B19" s="31" t="inlineStr">
        <is>
          <t>Netzkopplung zwischen beiden Backbones herstellen</t>
        </is>
      </c>
      <c r="C19" s="31" t="inlineStr">
        <is>
          <t>WS3 IT</t>
        </is>
      </c>
      <c r="D19" s="31" t="inlineStr">
        <is>
          <t>T. Bergström</t>
        </is>
      </c>
      <c r="E19" s="32" t="n">
        <v>42657</v>
      </c>
      <c r="F19" s="31" t="inlineStr">
        <is>
          <t>In Arbeit</t>
        </is>
      </c>
      <c r="G19" s="31" t="n">
        <v>35</v>
      </c>
      <c r="H19" s="31" t="inlineStr">
        <is>
          <t>Hoch</t>
        </is>
      </c>
      <c r="I19" s="31" t="n"/>
      <c r="J19" s="31" t="inlineStr">
        <is>
          <t>Complete network interconnect between the two backbones</t>
        </is>
      </c>
    </row>
    <row r="20" ht="22.35" customHeight="1" s="23">
      <c r="A20" s="33" t="inlineStr">
        <is>
          <t>A-026</t>
        </is>
      </c>
      <c r="B20" s="33" t="inlineStr">
        <is>
          <t>Service-Desk-Werkzeuge auf einer Plattform zusammenfuehren</t>
        </is>
      </c>
      <c r="C20" s="33" t="inlineStr">
        <is>
          <t>WS3 IT</t>
        </is>
      </c>
      <c r="D20" s="33" t="inlineStr">
        <is>
          <t>T. Bergström</t>
        </is>
      </c>
      <c r="E20" s="34" t="n">
        <v>42692</v>
      </c>
      <c r="F20" s="33" t="inlineStr">
        <is>
          <t>Offen</t>
        </is>
      </c>
      <c r="G20" s="33" t="n">
        <v>0</v>
      </c>
      <c r="H20" s="33" t="inlineStr">
        <is>
          <t>Niedrig</t>
        </is>
      </c>
      <c r="I20" s="33" t="inlineStr">
        <is>
          <t>A-025</t>
        </is>
      </c>
      <c r="J20" s="33" t="inlineStr">
        <is>
          <t>Consolidate service desk tooling onto one platform</t>
        </is>
      </c>
    </row>
    <row r="21" ht="22.35" customHeight="1" s="23">
      <c r="A21" s="31" t="inlineStr">
        <is>
          <t>A-031</t>
        </is>
      </c>
      <c r="B21" s="31" t="inlineStr">
        <is>
          <t>Kombinierte Organisationsstruktur bis Ebene 3 veroeffentlichen</t>
        </is>
      </c>
      <c r="C21" s="31" t="inlineStr">
        <is>
          <t>WS4 Personal</t>
        </is>
      </c>
      <c r="D21" s="31" t="inlineStr">
        <is>
          <t>J. Adeyemi</t>
        </is>
      </c>
      <c r="E21" s="32" t="n">
        <v>42654</v>
      </c>
      <c r="F21" s="35" t="inlineStr">
        <is>
          <t>Blockiert</t>
        </is>
      </c>
      <c r="G21" s="31" t="n">
        <v>65</v>
      </c>
      <c r="H21" s="31" t="inlineStr">
        <is>
          <t>Hoch</t>
        </is>
      </c>
      <c r="I21" s="31" t="inlineStr">
        <is>
          <t>A-033</t>
        </is>
      </c>
      <c r="J21" s="31" t="inlineStr">
        <is>
          <t>Publish combined organisation structure to level 3</t>
        </is>
      </c>
    </row>
    <row r="22" ht="22.35" customHeight="1" s="23">
      <c r="A22" s="33" t="inlineStr">
        <is>
          <t>A-032</t>
        </is>
      </c>
      <c r="B22" s="33" t="inlineStr">
        <is>
          <t>Verguetungsmodell im Vertrieb harmonisieren</t>
        </is>
      </c>
      <c r="C22" s="33" t="inlineStr">
        <is>
          <t>WS4 Personal</t>
        </is>
      </c>
      <c r="D22" s="33" t="inlineStr">
        <is>
          <t>J. Adeyemi</t>
        </is>
      </c>
      <c r="E22" s="34" t="n">
        <v>42654</v>
      </c>
      <c r="F22" s="33" t="inlineStr">
        <is>
          <t>In Arbeit</t>
        </is>
      </c>
      <c r="G22" s="33" t="n">
        <v>55</v>
      </c>
      <c r="H22" s="33" t="inlineStr">
        <is>
          <t>Hoch</t>
        </is>
      </c>
      <c r="I22" s="33" t="n"/>
      <c r="J22" s="33" t="inlineStr">
        <is>
          <t>Harmonise sales compensation plan design</t>
        </is>
      </c>
    </row>
    <row r="23" ht="22.35" customHeight="1" s="23">
      <c r="A23" s="31" t="inlineStr">
        <is>
          <t>A-033</t>
        </is>
      </c>
      <c r="B23" s="31" t="inlineStr">
        <is>
          <t>Anhoerung des Betriebsrats in Deutschland abschliessen</t>
        </is>
      </c>
      <c r="C23" s="31" t="inlineStr">
        <is>
          <t>WS4 Personal</t>
        </is>
      </c>
      <c r="D23" s="31" t="inlineStr">
        <is>
          <t>W. Kempowski</t>
        </is>
      </c>
      <c r="E23" s="32" t="n">
        <v>42671</v>
      </c>
      <c r="F23" s="31" t="inlineStr">
        <is>
          <t>In Arbeit</t>
        </is>
      </c>
      <c r="G23" s="31" t="n">
        <v>40</v>
      </c>
      <c r="H23" s="31" t="inlineStr">
        <is>
          <t>Hoch</t>
        </is>
      </c>
      <c r="I23" s="31" t="n"/>
      <c r="J23" s="31" t="inlineStr">
        <is>
          <t>Conclude works council consultation in Germany</t>
        </is>
      </c>
    </row>
    <row r="24" ht="22.35" customHeight="1" s="23">
      <c r="A24" s="33" t="inlineStr">
        <is>
          <t>A-034</t>
        </is>
      </c>
      <c r="B24" s="33" t="inlineStr">
        <is>
          <t>Halteprogramme fuer benannte Schluesselrollen bestaetigen</t>
        </is>
      </c>
      <c r="C24" s="33" t="inlineStr">
        <is>
          <t>WS4 Personal</t>
        </is>
      </c>
      <c r="D24" s="33" t="inlineStr">
        <is>
          <t>J. Adeyemi</t>
        </is>
      </c>
      <c r="E24" s="34" t="n">
        <v>42650</v>
      </c>
      <c r="F24" s="33" t="inlineStr">
        <is>
          <t>In Arbeit</t>
        </is>
      </c>
      <c r="G24" s="33" t="n">
        <v>75</v>
      </c>
      <c r="H24" s="33" t="inlineStr">
        <is>
          <t>Hoch</t>
        </is>
      </c>
      <c r="I24" s="33" t="n"/>
      <c r="J24" s="33" t="inlineStr">
        <is>
          <t>Confirm retention packages for named critical roles</t>
        </is>
      </c>
    </row>
    <row r="25" ht="22.35" customHeight="1" s="23">
      <c r="A25" s="31" t="inlineStr">
        <is>
          <t>A-035</t>
        </is>
      </c>
      <c r="B25" s="31" t="inlineStr">
        <is>
          <t>Nutzung des Willkommens-eGuide bis Day 30 nachverfolgen</t>
        </is>
      </c>
      <c r="C25" s="31" t="inlineStr">
        <is>
          <t>WS4 Personal</t>
        </is>
      </c>
      <c r="D25" s="31" t="inlineStr">
        <is>
          <t>E. Brannigan</t>
        </is>
      </c>
      <c r="E25" s="32" t="n">
        <v>42650</v>
      </c>
      <c r="F25" s="31" t="inlineStr">
        <is>
          <t>In Arbeit</t>
        </is>
      </c>
      <c r="G25" s="31" t="n">
        <v>60</v>
      </c>
      <c r="H25" s="31" t="inlineStr">
        <is>
          <t>Mittel</t>
        </is>
      </c>
      <c r="I25" s="31" t="n"/>
      <c r="J25" s="31" t="inlineStr">
        <is>
          <t>Track welcome eGuide adoption to Day 30</t>
        </is>
      </c>
    </row>
    <row r="26" ht="22.35" customHeight="1" s="23">
      <c r="A26" s="33" t="inlineStr">
        <is>
          <t>A-036</t>
        </is>
      </c>
      <c r="B26" s="33" t="inlineStr">
        <is>
          <t>Stellenarchitektur und Eingruppierung beider Gruppen angleichen</t>
        </is>
      </c>
      <c r="C26" s="33" t="inlineStr">
        <is>
          <t>WS4 Personal</t>
        </is>
      </c>
      <c r="D26" s="33" t="inlineStr">
        <is>
          <t>J. Adeyemi</t>
        </is>
      </c>
      <c r="E26" s="34" t="n">
        <v>42699</v>
      </c>
      <c r="F26" s="33" t="inlineStr">
        <is>
          <t>Offen</t>
        </is>
      </c>
      <c r="G26" s="33" t="n">
        <v>0</v>
      </c>
      <c r="H26" s="33" t="inlineStr">
        <is>
          <t>Mittel</t>
        </is>
      </c>
      <c r="I26" s="33" t="inlineStr">
        <is>
          <t>A-031</t>
        </is>
      </c>
      <c r="J26" s="33" t="inlineStr">
        <is>
          <t>Align job architecture and grading across both groups</t>
        </is>
      </c>
    </row>
    <row r="27" ht="22.35" customHeight="1" s="23">
      <c r="A27" s="31" t="inlineStr">
        <is>
          <t>A-041</t>
        </is>
      </c>
      <c r="B27" s="31" t="inlineStr">
        <is>
          <t>Lieferantenstammdaten der 200 groessten Lieferanten bereinigen</t>
        </is>
      </c>
      <c r="C27" s="31" t="inlineStr">
        <is>
          <t>WS5 Lieferkette</t>
        </is>
      </c>
      <c r="D27" s="31" t="inlineStr">
        <is>
          <t>K. Matsuda</t>
        </is>
      </c>
      <c r="E27" s="32" t="n">
        <v>42648</v>
      </c>
      <c r="F27" s="31" t="inlineStr">
        <is>
          <t>In Arbeit</t>
        </is>
      </c>
      <c r="G27" s="31" t="n">
        <v>84</v>
      </c>
      <c r="H27" s="31" t="inlineStr">
        <is>
          <t>Hoch</t>
        </is>
      </c>
      <c r="I27" s="31" t="n"/>
      <c r="J27" s="31" t="inlineStr">
        <is>
          <t>Cleanse supplier master for the top 200 vendors</t>
        </is>
      </c>
    </row>
    <row r="28" ht="22.35" customHeight="1" s="23">
      <c r="A28" s="33" t="inlineStr">
        <is>
          <t>A-042</t>
        </is>
      </c>
      <c r="B28" s="33" t="inlineStr">
        <is>
          <t>Beschaffungswuerfel fuer die Kategorien der Welle 1 aufbauen</t>
        </is>
      </c>
      <c r="C28" s="33" t="inlineStr">
        <is>
          <t>WS5 Lieferkette</t>
        </is>
      </c>
      <c r="D28" s="33" t="inlineStr">
        <is>
          <t>K. Matsuda</t>
        </is>
      </c>
      <c r="E28" s="34" t="n">
        <v>42657</v>
      </c>
      <c r="F28" s="33" t="inlineStr">
        <is>
          <t>In Arbeit</t>
        </is>
      </c>
      <c r="G28" s="33" t="n">
        <v>50</v>
      </c>
      <c r="H28" s="33" t="inlineStr">
        <is>
          <t>Hoch</t>
        </is>
      </c>
      <c r="I28" s="33" t="inlineStr">
        <is>
          <t>A-041</t>
        </is>
      </c>
      <c r="J28" s="33" t="inlineStr">
        <is>
          <t>Build the combined spend cube for wave 1 categories</t>
        </is>
      </c>
    </row>
    <row r="29" ht="22.35" customHeight="1" s="23">
      <c r="A29" s="31" t="inlineStr">
        <is>
          <t>A-043</t>
        </is>
      </c>
      <c r="B29" s="31" t="inlineStr">
        <is>
          <t>Nachverhandlung mit den zwoelf groessten Logistikdienstleistern eroeffnen</t>
        </is>
      </c>
      <c r="C29" s="31" t="inlineStr">
        <is>
          <t>WS5 Lieferkette</t>
        </is>
      </c>
      <c r="D29" s="31" t="inlineStr">
        <is>
          <t>K. Matsuda</t>
        </is>
      </c>
      <c r="E29" s="32" t="n">
        <v>42671</v>
      </c>
      <c r="F29" s="31" t="inlineStr">
        <is>
          <t>Offen</t>
        </is>
      </c>
      <c r="G29" s="31" t="n">
        <v>15</v>
      </c>
      <c r="H29" s="31" t="inlineStr">
        <is>
          <t>Hoch</t>
        </is>
      </c>
      <c r="I29" s="31" t="inlineStr">
        <is>
          <t>A-042</t>
        </is>
      </c>
      <c r="J29" s="31" t="inlineStr">
        <is>
          <t>Open renegotiation with the top 12 logistics providers</t>
        </is>
      </c>
    </row>
    <row r="30" ht="22.35" customHeight="1" s="23">
      <c r="A30" s="33" t="inlineStr">
        <is>
          <t>A-044</t>
        </is>
      </c>
      <c r="B30" s="33" t="inlineStr">
        <is>
          <t>Ueberschneidungen im Lagernetz in EMEA und APJ erfassen</t>
        </is>
      </c>
      <c r="C30" s="33" t="inlineStr">
        <is>
          <t>WS5 Lieferkette</t>
        </is>
      </c>
      <c r="D30" s="33" t="inlineStr">
        <is>
          <t>K. Matsuda</t>
        </is>
      </c>
      <c r="E30" s="34" t="n">
        <v>42685</v>
      </c>
      <c r="F30" s="33" t="inlineStr">
        <is>
          <t>Offen</t>
        </is>
      </c>
      <c r="G30" s="33" t="n">
        <v>0</v>
      </c>
      <c r="H30" s="33" t="inlineStr">
        <is>
          <t>Mittel</t>
        </is>
      </c>
      <c r="I30" s="33" t="n"/>
      <c r="J30" s="33" t="inlineStr">
        <is>
          <t>Map warehouse footprint overlap in EMEA and APJ</t>
        </is>
      </c>
    </row>
    <row r="31" ht="22.35" customHeight="1" s="23">
      <c r="A31" s="31" t="inlineStr">
        <is>
          <t>A-051</t>
        </is>
      </c>
      <c r="B31" s="31" t="inlineStr">
        <is>
          <t>Produktportfolio-Konkordanz veroeffentlichen</t>
        </is>
      </c>
      <c r="C31" s="31" t="inlineStr">
        <is>
          <t>WS6 Vertrieb und Marketing</t>
        </is>
      </c>
      <c r="D31" s="31" t="inlineStr">
        <is>
          <t>L. Kowalczyk</t>
        </is>
      </c>
      <c r="E31" s="32" t="n">
        <v>42639</v>
      </c>
      <c r="F31" s="31" t="inlineStr">
        <is>
          <t>Erledigt</t>
        </is>
      </c>
      <c r="G31" s="31" t="n">
        <v>100</v>
      </c>
      <c r="H31" s="31" t="inlineStr">
        <is>
          <t>Hoch</t>
        </is>
      </c>
      <c r="I31" s="31" t="n"/>
      <c r="J31" s="31" t="inlineStr">
        <is>
          <t>Publish combined product portfolio cross-reference</t>
        </is>
      </c>
    </row>
    <row r="32" ht="22.35" customHeight="1" s="23">
      <c r="A32" s="33" t="inlineStr">
        <is>
          <t>A-052</t>
        </is>
      </c>
      <c r="B32" s="33" t="inlineStr">
        <is>
          <t>Gebiets- und Quotenmodell fuer die kombinierte Vertriebsorganisation angleichen</t>
        </is>
      </c>
      <c r="C32" s="33" t="inlineStr">
        <is>
          <t>WS6 Vertrieb und Marketing</t>
        </is>
      </c>
      <c r="D32" s="33" t="inlineStr">
        <is>
          <t>L. Kowalczyk</t>
        </is>
      </c>
      <c r="E32" s="34" t="n">
        <v>42664</v>
      </c>
      <c r="F32" s="33" t="inlineStr">
        <is>
          <t>In Arbeit</t>
        </is>
      </c>
      <c r="G32" s="33" t="n">
        <v>40</v>
      </c>
      <c r="H32" s="33" t="inlineStr">
        <is>
          <t>Hoch</t>
        </is>
      </c>
      <c r="I32" s="33" t="inlineStr">
        <is>
          <t>A-032</t>
        </is>
      </c>
      <c r="J32" s="33" t="inlineStr">
        <is>
          <t>Align territory and quota model for the merged field</t>
        </is>
      </c>
    </row>
    <row r="33" ht="22.35" customHeight="1" s="23">
      <c r="A33" s="31" t="inlineStr">
        <is>
          <t>A-053</t>
        </is>
      </c>
      <c r="B33" s="31" t="inlineStr">
        <is>
          <t>Kundenbotschaft fuer die Dell EMC World vorbereiten</t>
        </is>
      </c>
      <c r="C33" s="31" t="inlineStr">
        <is>
          <t>WS6 Vertrieb und Marketing</t>
        </is>
      </c>
      <c r="D33" s="31" t="inlineStr">
        <is>
          <t>E. Brannigan</t>
        </is>
      </c>
      <c r="E33" s="32" t="n">
        <v>42654</v>
      </c>
      <c r="F33" s="31" t="inlineStr">
        <is>
          <t>In Arbeit</t>
        </is>
      </c>
      <c r="G33" s="31" t="n">
        <v>55</v>
      </c>
      <c r="H33" s="31" t="inlineStr">
        <is>
          <t>Hoch</t>
        </is>
      </c>
      <c r="I33" s="31" t="n"/>
      <c r="J33" s="31" t="inlineStr">
        <is>
          <t>Prepare the Dell EMC World customer narrative</t>
        </is>
      </c>
    </row>
    <row r="34" ht="22.35" customHeight="1" s="23">
      <c r="A34" s="33" t="inlineStr">
        <is>
          <t>A-054</t>
        </is>
      </c>
      <c r="B34" s="33" t="inlineStr">
        <is>
          <t>Konditionen der Partnerprogramme zusammenfuehren</t>
        </is>
      </c>
      <c r="C34" s="33" t="inlineStr">
        <is>
          <t>WS6 Vertrieb und Marketing</t>
        </is>
      </c>
      <c r="D34" s="33" t="inlineStr">
        <is>
          <t>L. Kowalczyk</t>
        </is>
      </c>
      <c r="E34" s="34" t="n">
        <v>42678</v>
      </c>
      <c r="F34" s="33" t="inlineStr">
        <is>
          <t>Offen</t>
        </is>
      </c>
      <c r="G34" s="33" t="n">
        <v>10</v>
      </c>
      <c r="H34" s="33" t="inlineStr">
        <is>
          <t>Mittel</t>
        </is>
      </c>
      <c r="I34" s="33" t="n"/>
      <c r="J34" s="33" t="inlineStr">
        <is>
          <t>Consolidate partner programme terms</t>
        </is>
      </c>
    </row>
    <row r="35" ht="22.35" customHeight="1" s="23">
      <c r="A35" s="31" t="inlineStr">
        <is>
          <t>A-055</t>
        </is>
      </c>
      <c r="B35" s="31" t="inlineStr">
        <is>
          <t>Ausgangswert des Kunden-NPS erheben</t>
        </is>
      </c>
      <c r="C35" s="31" t="inlineStr">
        <is>
          <t>WS6 Vertrieb und Marketing</t>
        </is>
      </c>
      <c r="D35" s="31" t="inlineStr">
        <is>
          <t>S. Lindqvist</t>
        </is>
      </c>
      <c r="E35" s="32" t="n">
        <v>42657</v>
      </c>
      <c r="F35" s="31" t="inlineStr">
        <is>
          <t>In Arbeit</t>
        </is>
      </c>
      <c r="G35" s="31" t="n">
        <v>30</v>
      </c>
      <c r="H35" s="31" t="inlineStr">
        <is>
          <t>Mittel</t>
        </is>
      </c>
      <c r="I35" s="31" t="n"/>
      <c r="J35" s="31" t="inlineStr">
        <is>
          <t>Measure customer net promoter score baseline</t>
        </is>
      </c>
    </row>
    <row r="36" ht="22.35" customHeight="1" s="23">
      <c r="A36" s="33" t="inlineStr">
        <is>
          <t>A-061</t>
        </is>
      </c>
      <c r="B36" s="33" t="inlineStr">
        <is>
          <t>Mietvertragsanalyse fuer 52 EMEA-Standorte abschliessen</t>
        </is>
      </c>
      <c r="C36" s="33" t="inlineStr">
        <is>
          <t>WS7 Immobilien</t>
        </is>
      </c>
      <c r="D36" s="33" t="inlineStr">
        <is>
          <t>F. Ricciardi</t>
        </is>
      </c>
      <c r="E36" s="34" t="n">
        <v>42664</v>
      </c>
      <c r="F36" s="33" t="inlineStr">
        <is>
          <t>In Arbeit</t>
        </is>
      </c>
      <c r="G36" s="33" t="n">
        <v>79</v>
      </c>
      <c r="H36" s="33" t="inlineStr">
        <is>
          <t>Mittel</t>
        </is>
      </c>
      <c r="I36" s="33" t="n"/>
      <c r="J36" s="33" t="inlineStr">
        <is>
          <t>Complete lease expiry analysis for 52 EMEA sites</t>
        </is>
      </c>
    </row>
    <row r="37" ht="22.35" customHeight="1" s="23">
      <c r="A37" s="31" t="inlineStr">
        <is>
          <t>A-062</t>
        </is>
      </c>
      <c r="B37" s="31" t="inlineStr">
        <is>
          <t>Zusammenlegung der DACH-Hauptstandorte pruefen</t>
        </is>
      </c>
      <c r="C37" s="31" t="inlineStr">
        <is>
          <t>WS7 Immobilien</t>
        </is>
      </c>
      <c r="D37" s="31" t="inlineStr">
        <is>
          <t>H. Wegener</t>
        </is>
      </c>
      <c r="E37" s="32" t="n">
        <v>42678</v>
      </c>
      <c r="F37" s="31" t="inlineStr">
        <is>
          <t>Offen</t>
        </is>
      </c>
      <c r="G37" s="31" t="n">
        <v>20</v>
      </c>
      <c r="H37" s="31" t="inlineStr">
        <is>
          <t>Mittel</t>
        </is>
      </c>
      <c r="I37" s="31" t="inlineStr">
        <is>
          <t>A-061</t>
        </is>
      </c>
      <c r="J37" s="31" t="inlineStr">
        <is>
          <t>Assess co-location options for the DACH head offices</t>
        </is>
      </c>
    </row>
    <row r="38" ht="22.35" customHeight="1" s="23">
      <c r="A38" s="33" t="inlineStr">
        <is>
          <t>A-063</t>
        </is>
      </c>
      <c r="B38" s="33" t="inlineStr">
        <is>
          <t>Beschilderung und Rebranding fuer Standorte der Stufe 1 terminieren</t>
        </is>
      </c>
      <c r="C38" s="33" t="inlineStr">
        <is>
          <t>WS7 Immobilien</t>
        </is>
      </c>
      <c r="D38" s="33" t="inlineStr">
        <is>
          <t>F. Ricciardi</t>
        </is>
      </c>
      <c r="E38" s="34" t="n">
        <v>42657</v>
      </c>
      <c r="F38" s="33" t="inlineStr">
        <is>
          <t>In Arbeit</t>
        </is>
      </c>
      <c r="G38" s="33" t="n">
        <v>45</v>
      </c>
      <c r="H38" s="33" t="inlineStr">
        <is>
          <t>Niedrig</t>
        </is>
      </c>
      <c r="I38" s="33" t="n"/>
      <c r="J38" s="33" t="inlineStr">
        <is>
          <t>Confirm signage and rebranding schedule for tier 1 sites</t>
        </is>
      </c>
    </row>
    <row r="39" ht="22.35" customHeight="1" s="23">
      <c r="A39" s="31" t="inlineStr">
        <is>
          <t>A-071</t>
        </is>
      </c>
      <c r="B39" s="31" t="inlineStr">
        <is>
          <t>Bewertung im Wertpriorisierungsrahmen veroeffentlichen</t>
        </is>
      </c>
      <c r="C39" s="31" t="inlineStr">
        <is>
          <t>WS1 Finanzen</t>
        </is>
      </c>
      <c r="D39" s="31" t="inlineStr">
        <is>
          <t>M. Haddad</t>
        </is>
      </c>
      <c r="E39" s="32" t="n">
        <v>42636</v>
      </c>
      <c r="F39" s="31" t="inlineStr">
        <is>
          <t>Erledigt</t>
        </is>
      </c>
      <c r="G39" s="31" t="n">
        <v>100</v>
      </c>
      <c r="H39" s="31" t="inlineStr">
        <is>
          <t>Hoch</t>
        </is>
      </c>
      <c r="I39" s="31" t="n"/>
      <c r="J39" s="31" t="inlineStr">
        <is>
          <t>Publish the value prioritisation framework scoring</t>
        </is>
      </c>
    </row>
    <row r="40" ht="22.35" customHeight="1" s="23">
      <c r="A40" s="33" t="inlineStr">
        <is>
          <t>A-072</t>
        </is>
      </c>
      <c r="B40" s="33" t="inlineStr">
        <is>
          <t>Synergieinitiativen der Welle 1 mit Finance validieren</t>
        </is>
      </c>
      <c r="C40" s="33" t="inlineStr">
        <is>
          <t>WS1 Finanzen</t>
        </is>
      </c>
      <c r="D40" s="33" t="inlineStr">
        <is>
          <t>M. Haddad</t>
        </is>
      </c>
      <c r="E40" s="34" t="n">
        <v>42650</v>
      </c>
      <c r="F40" s="33" t="inlineStr">
        <is>
          <t>In Arbeit</t>
        </is>
      </c>
      <c r="G40" s="33" t="n">
        <v>65</v>
      </c>
      <c r="H40" s="33" t="inlineStr">
        <is>
          <t>Hoch</t>
        </is>
      </c>
      <c r="I40" s="33" t="n"/>
      <c r="J40" s="33" t="inlineStr">
        <is>
          <t>Validate synergy wave 1 initiatives with Finance</t>
        </is>
      </c>
    </row>
    <row r="41" ht="22.35" customHeight="1" s="23">
      <c r="A41" s="31" t="inlineStr">
        <is>
          <t>A-073</t>
        </is>
      </c>
      <c r="B41" s="31" t="inlineStr">
        <is>
          <t>Abhaengigkeitskarte zwischen den Teilprojekten aktualisieren</t>
        </is>
      </c>
      <c r="C41" s="31" t="inlineStr">
        <is>
          <t>WS3 IT</t>
        </is>
      </c>
      <c r="D41" s="31" t="inlineStr">
        <is>
          <t>D. Okonjo</t>
        </is>
      </c>
      <c r="E41" s="32" t="n">
        <v>42643</v>
      </c>
      <c r="F41" s="31" t="inlineStr">
        <is>
          <t>In Arbeit</t>
        </is>
      </c>
      <c r="G41" s="31" t="n">
        <v>90</v>
      </c>
      <c r="H41" s="31" t="inlineStr">
        <is>
          <t>Hoch</t>
        </is>
      </c>
      <c r="I41" s="31" t="n"/>
      <c r="J41" s="31" t="inlineStr">
        <is>
          <t>Refresh the cross-workstream dependency map</t>
        </is>
      </c>
    </row>
    <row r="42" ht="22.35" customHeight="1" s="23">
      <c r="A42" s="33" t="inlineStr">
        <is>
          <t>A-074</t>
        </is>
      </c>
      <c r="B42" s="33" t="inlineStr">
        <is>
          <t>Offene Punkte aus der ersten SteerCo-Sitzung abschliessen</t>
        </is>
      </c>
      <c r="C42" s="33" t="inlineStr">
        <is>
          <t>WS1 Finanzen</t>
        </is>
      </c>
      <c r="D42" s="33" t="inlineStr">
        <is>
          <t>D. Okonjo</t>
        </is>
      </c>
      <c r="E42" s="34" t="n">
        <v>42642</v>
      </c>
      <c r="F42" s="33" t="inlineStr">
        <is>
          <t>In Arbeit</t>
        </is>
      </c>
      <c r="G42" s="33" t="n">
        <v>67</v>
      </c>
      <c r="H42" s="33" t="inlineStr">
        <is>
          <t>Hoch</t>
        </is>
      </c>
      <c r="I42" s="33" t="n"/>
      <c r="J42" s="33" t="inlineStr">
        <is>
          <t>Close out open actions from SteerCo session 01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22" min="1" max="1"/>
    <col width="48" customWidth="1" style="22" min="2" max="2"/>
    <col width="17" customWidth="1" style="22" min="3" max="3"/>
    <col width="13" customWidth="1" style="22" min="4" max="4"/>
    <col width="18" customWidth="1" style="22" min="5" max="5"/>
    <col width="13" customWidth="1" style="22" min="6" max="6"/>
    <col width="15" customWidth="1" style="22" min="7" max="8"/>
    <col width="13" customWidth="1" style="22" min="9" max="10"/>
    <col width="46" customWidth="1" style="22" min="11" max="11"/>
  </cols>
  <sheetData>
    <row r="1" ht="16.15" customHeight="1" s="23">
      <c r="A1" s="24" t="inlineStr">
        <is>
          <t>Meilensteinplan (Milestone Plan)</t>
        </is>
      </c>
    </row>
    <row r="2" ht="15" customHeight="1" s="23">
      <c r="A2" s="25" t="inlineStr">
        <is>
          <t>Day 1 07.09.2016  |  Day 30 07.10.2016  |  Day 100 16.12.2016  |  13 von 18 gate-relevant</t>
        </is>
      </c>
    </row>
    <row r="4" ht="30" customHeight="1" s="23">
      <c r="A4" s="30" t="inlineStr">
        <is>
          <t>ID</t>
        </is>
      </c>
      <c r="B4" s="30" t="inlineStr">
        <is>
          <t>Meilenstein</t>
        </is>
      </c>
      <c r="C4" s="30" t="inlineStr">
        <is>
          <t>Phase</t>
        </is>
      </c>
      <c r="D4" s="30" t="inlineStr">
        <is>
          <t>Teilprojekt</t>
        </is>
      </c>
      <c r="E4" s="30" t="inlineStr">
        <is>
          <t>Verantwortlich</t>
        </is>
      </c>
      <c r="F4" s="30" t="inlineStr">
        <is>
          <t>Basistermin</t>
        </is>
      </c>
      <c r="G4" s="30" t="inlineStr">
        <is>
          <t>Prognosetermin</t>
        </is>
      </c>
      <c r="H4" s="30" t="inlineStr">
        <is>
          <t>Abweichung (Tage)</t>
        </is>
      </c>
      <c r="I4" s="30" t="inlineStr">
        <is>
          <t>Status</t>
        </is>
      </c>
      <c r="J4" s="30" t="inlineStr">
        <is>
          <t>Gate-relevant</t>
        </is>
      </c>
      <c r="K4" s="30" t="inlineStr">
        <is>
          <t>Kommentar</t>
        </is>
      </c>
    </row>
    <row r="5" ht="22.35" customHeight="1" s="23">
      <c r="A5" s="31" t="inlineStr">
        <is>
          <t>M-01</t>
        </is>
      </c>
      <c r="B5" s="31" t="inlineStr">
        <is>
          <t>Day 1 Vollzug und Markenauftritt umgesetzt</t>
        </is>
      </c>
      <c r="C5" s="31" t="inlineStr">
        <is>
          <t>Day 1</t>
        </is>
      </c>
      <c r="D5" s="31" t="inlineStr">
        <is>
          <t>WS6 Vertrieb und Marketing</t>
        </is>
      </c>
      <c r="E5" s="31" t="inlineStr">
        <is>
          <t>L. Kowalczyk</t>
        </is>
      </c>
      <c r="F5" s="32" t="n">
        <v>42620</v>
      </c>
      <c r="G5" s="32" t="n">
        <v>42620</v>
      </c>
      <c r="H5" s="37">
        <f>G5-F5</f>
        <v/>
      </c>
      <c r="I5" s="31" t="inlineStr">
        <is>
          <t>Erledigt</t>
        </is>
      </c>
      <c r="J5" s="31" t="inlineStr">
        <is>
          <t>Ja</t>
        </is>
      </c>
      <c r="K5" s="31" t="inlineStr">
        <is>
          <t>Closed on schedule. New Dell Technologies and Dell EMC branding launched the same day.</t>
        </is>
      </c>
    </row>
    <row r="6" ht="22.35" customHeight="1" s="23">
      <c r="A6" s="33" t="inlineStr">
        <is>
          <t>M-02</t>
        </is>
      </c>
      <c r="B6" s="33" t="inlineStr">
        <is>
          <t>Willkommens-eGuide zu Day 1 fuer alle 140.000 Mitarbeitenden verfuegbar</t>
        </is>
      </c>
      <c r="C6" s="33" t="inlineStr">
        <is>
          <t>Day 1</t>
        </is>
      </c>
      <c r="D6" s="33" t="inlineStr">
        <is>
          <t>WS4 Personal</t>
        </is>
      </c>
      <c r="E6" s="33" t="inlineStr">
        <is>
          <t>J. Adeyemi</t>
        </is>
      </c>
      <c r="F6" s="34" t="n">
        <v>42620</v>
      </c>
      <c r="G6" s="34" t="n">
        <v>42620</v>
      </c>
      <c r="H6" s="37">
        <f>G6-F6</f>
        <v/>
      </c>
      <c r="I6" s="33" t="inlineStr">
        <is>
          <t>Erledigt</t>
        </is>
      </c>
      <c r="J6" s="33" t="inlineStr">
        <is>
          <t>Ja</t>
        </is>
      </c>
      <c r="K6" s="33" t="inlineStr">
        <is>
          <t>Digital tool delivered with advisory support. Adoption tracking continues to Day 30.</t>
        </is>
      </c>
    </row>
    <row r="7" ht="22.35" customHeight="1" s="23">
      <c r="A7" s="31" t="inlineStr">
        <is>
          <t>M-03</t>
        </is>
      </c>
      <c r="B7" s="31" t="inlineStr">
        <is>
          <t>Vertriebs-Runbook fuer ueber 40.000 Vertriebsmitarbeitende verfuegbar</t>
        </is>
      </c>
      <c r="C7" s="31" t="inlineStr">
        <is>
          <t>Day 1</t>
        </is>
      </c>
      <c r="D7" s="31" t="inlineStr">
        <is>
          <t>WS6 Vertrieb und Marketing</t>
        </is>
      </c>
      <c r="E7" s="31" t="inlineStr">
        <is>
          <t>L. Kowalczyk</t>
        </is>
      </c>
      <c r="F7" s="32" t="n">
        <v>42620</v>
      </c>
      <c r="G7" s="32" t="n">
        <v>42620</v>
      </c>
      <c r="H7" s="37">
        <f>G7-F7</f>
        <v/>
      </c>
      <c r="I7" s="31" t="inlineStr">
        <is>
          <t>Erledigt</t>
        </is>
      </c>
      <c r="J7" s="31" t="inlineStr">
        <is>
          <t>Ja</t>
        </is>
      </c>
      <c r="K7" s="31" t="inlineStr">
        <is>
          <t>Cross-sell guidance for the combined portfolio available at close.</t>
        </is>
      </c>
    </row>
    <row r="8" ht="22.35" customHeight="1" s="23">
      <c r="A8" s="33" t="inlineStr">
        <is>
          <t>M-04</t>
        </is>
      </c>
      <c r="B8" s="33" t="inlineStr">
        <is>
          <t>Kombinierte Eroeffnungsbilanz erstellt</t>
        </is>
      </c>
      <c r="C8" s="33" t="inlineStr">
        <is>
          <t>Day 1 to Day 30</t>
        </is>
      </c>
      <c r="D8" s="33" t="inlineStr">
        <is>
          <t>WS1 Finanzen</t>
        </is>
      </c>
      <c r="E8" s="33" t="inlineStr">
        <is>
          <t>R. Whitfield</t>
        </is>
      </c>
      <c r="F8" s="34" t="n">
        <v>42650</v>
      </c>
      <c r="G8" s="34" t="n">
        <v>42650</v>
      </c>
      <c r="H8" s="37">
        <f>G8-F8</f>
        <v/>
      </c>
      <c r="I8" s="33" t="inlineStr">
        <is>
          <t>Im Plan</t>
        </is>
      </c>
      <c r="J8" s="33" t="inlineStr">
        <is>
          <t>Ja</t>
        </is>
      </c>
      <c r="K8" s="33" t="inlineStr">
        <is>
          <t>Purchase price allocation input from valuation advisor received on schedule.</t>
        </is>
      </c>
    </row>
    <row r="9" ht="22.35" customHeight="1" s="23">
      <c r="A9" s="31" t="inlineStr">
        <is>
          <t>M-05</t>
        </is>
      </c>
      <c r="B9" s="31" t="inlineStr">
        <is>
          <t>Plan zur Gesellschaftsrechtlichen Straffung freigegeben</t>
        </is>
      </c>
      <c r="C9" s="31" t="inlineStr">
        <is>
          <t>Day 1 to Day 30</t>
        </is>
      </c>
      <c r="D9" s="31" t="inlineStr">
        <is>
          <t>WS2 Steuern</t>
        </is>
      </c>
      <c r="E9" s="31" t="inlineStr">
        <is>
          <t>N. Devereux</t>
        </is>
      </c>
      <c r="F9" s="32" t="n">
        <v>42650</v>
      </c>
      <c r="G9" s="32" t="n">
        <v>42657</v>
      </c>
      <c r="H9" s="37">
        <f>G9-F9</f>
        <v/>
      </c>
      <c r="I9" s="35" t="inlineStr">
        <is>
          <t>Verzögert</t>
        </is>
      </c>
      <c r="J9" s="31" t="inlineStr">
        <is>
          <t>Ja</t>
        </is>
      </c>
      <c r="K9" s="31" t="inlineStr">
        <is>
          <t>Slipped one week. Tax review of the EMEA entity chain is not complete.</t>
        </is>
      </c>
    </row>
    <row r="10" ht="15" customHeight="1" s="23">
      <c r="A10" s="33" t="inlineStr">
        <is>
          <t>M-06</t>
        </is>
      </c>
      <c r="B10" s="33" t="inlineStr">
        <is>
          <t>Vorlaeufiges Konzernberichtspaket erstellt</t>
        </is>
      </c>
      <c r="C10" s="33" t="inlineStr">
        <is>
          <t>Day 1 to Day 30</t>
        </is>
      </c>
      <c r="D10" s="33" t="inlineStr">
        <is>
          <t>WS1 Finanzen</t>
        </is>
      </c>
      <c r="E10" s="33" t="inlineStr">
        <is>
          <t>R. Whitfield</t>
        </is>
      </c>
      <c r="F10" s="34" t="n">
        <v>42650</v>
      </c>
      <c r="G10" s="34" t="n">
        <v>42650</v>
      </c>
      <c r="H10" s="37">
        <f>G10-F10</f>
        <v/>
      </c>
      <c r="I10" s="33" t="inlineStr">
        <is>
          <t>Im Plan</t>
        </is>
      </c>
      <c r="J10" s="33" t="inlineStr">
        <is>
          <t>Nein</t>
        </is>
      </c>
      <c r="K10" s="33" t="inlineStr">
        <is>
          <t>First combined management pack for the sponsor.</t>
        </is>
      </c>
    </row>
    <row r="11" ht="32.8" customHeight="1" s="23">
      <c r="A11" s="31" t="inlineStr">
        <is>
          <t>M-07</t>
        </is>
      </c>
      <c r="B11" s="31" t="inlineStr">
        <is>
          <t>Zielbild ERP-Konsolidierung freigegeben</t>
        </is>
      </c>
      <c r="C11" s="31" t="inlineStr">
        <is>
          <t>Day 1 to Day 30</t>
        </is>
      </c>
      <c r="D11" s="31" t="inlineStr">
        <is>
          <t>WS3 IT</t>
        </is>
      </c>
      <c r="E11" s="31" t="inlineStr">
        <is>
          <t>T. Bergström</t>
        </is>
      </c>
      <c r="F11" s="32" t="n">
        <v>42650</v>
      </c>
      <c r="G11" s="32" t="n">
        <v>42664</v>
      </c>
      <c r="H11" s="37">
        <f>G11-F11</f>
        <v/>
      </c>
      <c r="I11" s="35" t="inlineStr">
        <is>
          <t>Verzögert</t>
        </is>
      </c>
      <c r="J11" s="31" t="inlineStr">
        <is>
          <t>Ja</t>
        </is>
      </c>
      <c r="K11" s="31" t="inlineStr">
        <is>
          <t>Two weeks late. Legacy ERP upgrade at the target ran into the integration design. See escalation thread and expert session record.</t>
        </is>
      </c>
    </row>
    <row r="12" ht="15" customHeight="1" s="23">
      <c r="A12" s="33" t="inlineStr">
        <is>
          <t>M-08</t>
        </is>
      </c>
      <c r="B12" s="33" t="inlineStr">
        <is>
          <t>Einheitliche Anmeldung und Verzeichnisfoederation aktiv</t>
        </is>
      </c>
      <c r="C12" s="33" t="inlineStr">
        <is>
          <t>Day 1 to Day 30</t>
        </is>
      </c>
      <c r="D12" s="33" t="inlineStr">
        <is>
          <t>WS3 IT</t>
        </is>
      </c>
      <c r="E12" s="33" t="inlineStr">
        <is>
          <t>T. Bergström</t>
        </is>
      </c>
      <c r="F12" s="34" t="n">
        <v>42650</v>
      </c>
      <c r="G12" s="34" t="n">
        <v>42650</v>
      </c>
      <c r="H12" s="37">
        <f>G12-F12</f>
        <v/>
      </c>
      <c r="I12" s="33" t="inlineStr">
        <is>
          <t>Im Plan</t>
        </is>
      </c>
      <c r="J12" s="33" t="inlineStr">
        <is>
          <t>Nein</t>
        </is>
      </c>
      <c r="K12" s="33" t="inlineStr">
        <is>
          <t>Pilot population migrated, full cutover on plan.</t>
        </is>
      </c>
    </row>
    <row r="13" ht="22.35" customHeight="1" s="23">
      <c r="A13" s="31" t="inlineStr">
        <is>
          <t>M-09</t>
        </is>
      </c>
      <c r="B13" s="31" t="inlineStr">
        <is>
          <t>Harmonisiertes Verguetungsmodell Vertrieb kommuniziert</t>
        </is>
      </c>
      <c r="C13" s="31" t="inlineStr">
        <is>
          <t>Day 1 to Day 30</t>
        </is>
      </c>
      <c r="D13" s="31" t="inlineStr">
        <is>
          <t>WS4 Personal</t>
        </is>
      </c>
      <c r="E13" s="31" t="inlineStr">
        <is>
          <t>J. Adeyemi</t>
        </is>
      </c>
      <c r="F13" s="32" t="n">
        <v>42650</v>
      </c>
      <c r="G13" s="32" t="n">
        <v>42654</v>
      </c>
      <c r="H13" s="37">
        <f>G13-F13</f>
        <v/>
      </c>
      <c r="I13" s="38" t="inlineStr">
        <is>
          <t>Gefährdet</t>
        </is>
      </c>
      <c r="J13" s="31" t="inlineStr">
        <is>
          <t>Ja</t>
        </is>
      </c>
      <c r="K13" s="31" t="inlineStr">
        <is>
          <t>Depends on works council consultation in DACH concluding first.</t>
        </is>
      </c>
    </row>
    <row r="14" ht="22.35" customHeight="1" s="23">
      <c r="A14" s="33" t="inlineStr">
        <is>
          <t>M-10</t>
        </is>
      </c>
      <c r="B14" s="33" t="inlineStr">
        <is>
          <t>Lieferantenstammdaten fuer die 200 groessten Lieferanten konsolidiert</t>
        </is>
      </c>
      <c r="C14" s="33" t="inlineStr">
        <is>
          <t>Day 1 to Day 30</t>
        </is>
      </c>
      <c r="D14" s="33" t="inlineStr">
        <is>
          <t>WS5 Lieferkette</t>
        </is>
      </c>
      <c r="E14" s="33" t="inlineStr">
        <is>
          <t>K. Matsuda</t>
        </is>
      </c>
      <c r="F14" s="34" t="n">
        <v>42650</v>
      </c>
      <c r="G14" s="34" t="n">
        <v>42650</v>
      </c>
      <c r="H14" s="37">
        <f>G14-F14</f>
        <v/>
      </c>
      <c r="I14" s="33" t="inlineStr">
        <is>
          <t>Im Plan</t>
        </is>
      </c>
      <c r="J14" s="33" t="inlineStr">
        <is>
          <t>Nein</t>
        </is>
      </c>
      <c r="K14" s="33" t="inlineStr">
        <is>
          <t>Data cleanse complete for 168 of 200 vendors.</t>
        </is>
      </c>
    </row>
    <row r="15" ht="22.35" customHeight="1" s="23">
      <c r="A15" s="31" t="inlineStr">
        <is>
          <t>M-11</t>
        </is>
      </c>
      <c r="B15" s="31" t="inlineStr">
        <is>
          <t>Kombiniertes Portfolio auf der Dell EMC World praesentiert</t>
        </is>
      </c>
      <c r="C15" s="31" t="inlineStr">
        <is>
          <t>Day 30 to Day 100</t>
        </is>
      </c>
      <c r="D15" s="31" t="inlineStr">
        <is>
          <t>WS6 Vertrieb und Marketing</t>
        </is>
      </c>
      <c r="E15" s="31" t="inlineStr">
        <is>
          <t>L. Kowalczyk</t>
        </is>
      </c>
      <c r="F15" s="32" t="n">
        <v>42661</v>
      </c>
      <c r="G15" s="32" t="n">
        <v>42661</v>
      </c>
      <c r="H15" s="37">
        <f>G15-F15</f>
        <v/>
      </c>
      <c r="I15" s="31" t="inlineStr">
        <is>
          <t>Im Plan</t>
        </is>
      </c>
      <c r="J15" s="31" t="inlineStr">
        <is>
          <t>Ja</t>
        </is>
      </c>
      <c r="K15" s="31" t="inlineStr">
        <is>
          <t>Fixed external date, 18 to 20 October, Austin. Cannot move.</t>
        </is>
      </c>
    </row>
    <row r="16" ht="22.35" customHeight="1" s="23">
      <c r="A16" s="33" t="inlineStr">
        <is>
          <t>M-12</t>
        </is>
      </c>
      <c r="B16" s="33" t="inlineStr">
        <is>
          <t>Kundenbetreuungsmodell fuer die kombinierte Vertriebsorganisation in Kraft</t>
        </is>
      </c>
      <c r="C16" s="33" t="inlineStr">
        <is>
          <t>Day 30 to Day 100</t>
        </is>
      </c>
      <c r="D16" s="33" t="inlineStr">
        <is>
          <t>WS6 Vertrieb und Marketing</t>
        </is>
      </c>
      <c r="E16" s="33" t="inlineStr">
        <is>
          <t>L. Kowalczyk</t>
        </is>
      </c>
      <c r="F16" s="34" t="n">
        <v>42678</v>
      </c>
      <c r="G16" s="34" t="n">
        <v>42678</v>
      </c>
      <c r="H16" s="37">
        <f>G16-F16</f>
        <v/>
      </c>
      <c r="I16" s="33" t="inlineStr">
        <is>
          <t>Im Plan</t>
        </is>
      </c>
      <c r="J16" s="33" t="inlineStr">
        <is>
          <t>Ja</t>
        </is>
      </c>
      <c r="K16" s="33" t="inlineStr">
        <is>
          <t>Territory and quota alignment for the merged field organisation.</t>
        </is>
      </c>
    </row>
    <row r="17" ht="22.35" customHeight="1" s="23">
      <c r="A17" s="31" t="inlineStr">
        <is>
          <t>M-13</t>
        </is>
      </c>
      <c r="B17" s="31" t="inlineStr">
        <is>
          <t>Anhoerung der Betriebsraete DACH abgeschlossen</t>
        </is>
      </c>
      <c r="C17" s="31" t="inlineStr">
        <is>
          <t>Day 30 to Day 100</t>
        </is>
      </c>
      <c r="D17" s="31" t="inlineStr">
        <is>
          <t>WS4 Personal</t>
        </is>
      </c>
      <c r="E17" s="31" t="inlineStr">
        <is>
          <t>B. Steinmüller</t>
        </is>
      </c>
      <c r="F17" s="32" t="n">
        <v>42671</v>
      </c>
      <c r="G17" s="32" t="n">
        <v>42685</v>
      </c>
      <c r="H17" s="37">
        <f>G17-F17</f>
        <v/>
      </c>
      <c r="I17" s="35" t="inlineStr">
        <is>
          <t>Verzögert</t>
        </is>
      </c>
      <c r="J17" s="31" t="inlineStr">
        <is>
          <t>Ja</t>
        </is>
      </c>
      <c r="K17" s="31" t="inlineStr">
        <is>
          <t>Two weeks late. Consultation under German co-determination law is a hard legal gate.</t>
        </is>
      </c>
    </row>
    <row r="18" ht="15" customHeight="1" s="23">
      <c r="A18" s="33" t="inlineStr">
        <is>
          <t>M-14</t>
        </is>
      </c>
      <c r="B18" s="33" t="inlineStr">
        <is>
          <t>Standortkonzept EMEA freigegeben</t>
        </is>
      </c>
      <c r="C18" s="33" t="inlineStr">
        <is>
          <t>Day 30 to Day 100</t>
        </is>
      </c>
      <c r="D18" s="33" t="inlineStr">
        <is>
          <t>WS7 Immobilien</t>
        </is>
      </c>
      <c r="E18" s="33" t="inlineStr">
        <is>
          <t>F. Ricciardi</t>
        </is>
      </c>
      <c r="F18" s="34" t="n">
        <v>42692</v>
      </c>
      <c r="G18" s="34" t="n">
        <v>42692</v>
      </c>
      <c r="H18" s="37">
        <f>G18-F18</f>
        <v/>
      </c>
      <c r="I18" s="33" t="inlineStr">
        <is>
          <t>Im Plan</t>
        </is>
      </c>
      <c r="J18" s="33" t="inlineStr">
        <is>
          <t>Nein</t>
        </is>
      </c>
      <c r="K18" s="33" t="inlineStr">
        <is>
          <t>Lease expiry analysis complete for 41 of 52 EMEA sites.</t>
        </is>
      </c>
    </row>
    <row r="19" ht="22.35" customHeight="1" s="23">
      <c r="A19" s="31" t="inlineStr">
        <is>
          <t>M-15</t>
        </is>
      </c>
      <c r="B19" s="31" t="inlineStr">
        <is>
          <t>Verrechnungspreismodell fuer den kombinierten Konzern abgestimmt</t>
        </is>
      </c>
      <c r="C19" s="31" t="inlineStr">
        <is>
          <t>Day 30 to Day 100</t>
        </is>
      </c>
      <c r="D19" s="31" t="inlineStr">
        <is>
          <t>WS2 Steuern</t>
        </is>
      </c>
      <c r="E19" s="31" t="inlineStr">
        <is>
          <t>N. Devereux</t>
        </is>
      </c>
      <c r="F19" s="32" t="n">
        <v>42699</v>
      </c>
      <c r="G19" s="32" t="n">
        <v>42699</v>
      </c>
      <c r="H19" s="37">
        <f>G19-F19</f>
        <v/>
      </c>
      <c r="I19" s="31" t="inlineStr">
        <is>
          <t>Im Plan</t>
        </is>
      </c>
      <c r="J19" s="31" t="inlineStr">
        <is>
          <t>Ja</t>
        </is>
      </c>
      <c r="K19" s="31" t="inlineStr">
        <is>
          <t>Documentation drafting begins once the entity plan is approved.</t>
        </is>
      </c>
    </row>
    <row r="20" ht="15" customHeight="1" s="23">
      <c r="A20" s="33" t="inlineStr">
        <is>
          <t>M-16</t>
        </is>
      </c>
      <c r="B20" s="33" t="inlineStr">
        <is>
          <t>Beschaffungssynergien Welle 1 nachverhandelt</t>
        </is>
      </c>
      <c r="C20" s="33" t="inlineStr">
        <is>
          <t>Day 30 to Day 100</t>
        </is>
      </c>
      <c r="D20" s="33" t="inlineStr">
        <is>
          <t>WS5 Lieferkette</t>
        </is>
      </c>
      <c r="E20" s="33" t="inlineStr">
        <is>
          <t>K. Matsuda</t>
        </is>
      </c>
      <c r="F20" s="34" t="n">
        <v>42706</v>
      </c>
      <c r="G20" s="34" t="n">
        <v>42706</v>
      </c>
      <c r="H20" s="37">
        <f>G20-F20</f>
        <v/>
      </c>
      <c r="I20" s="33" t="inlineStr">
        <is>
          <t>Im Plan</t>
        </is>
      </c>
      <c r="J20" s="33" t="inlineStr">
        <is>
          <t>Ja</t>
        </is>
      </c>
      <c r="K20" s="33" t="inlineStr">
        <is>
          <t>Covers logistics, components and indirect categories.</t>
        </is>
      </c>
    </row>
    <row r="21" ht="15" customHeight="1" s="23">
      <c r="A21" s="31" t="inlineStr">
        <is>
          <t>M-17</t>
        </is>
      </c>
      <c r="B21" s="31" t="inlineStr">
        <is>
          <t>Wertrealisierungsbericht Day 100 an den Sponsor uebergeben</t>
        </is>
      </c>
      <c r="C21" s="31" t="inlineStr">
        <is>
          <t>Day 30 to Day 100</t>
        </is>
      </c>
      <c r="D21" s="31" t="inlineStr">
        <is>
          <t>WS1 Finanzen</t>
        </is>
      </c>
      <c r="E21" s="31" t="inlineStr">
        <is>
          <t>D. Okonjo</t>
        </is>
      </c>
      <c r="F21" s="32" t="n">
        <v>42720</v>
      </c>
      <c r="G21" s="32" t="n">
        <v>42720</v>
      </c>
      <c r="H21" s="37">
        <f>G21-F21</f>
        <v/>
      </c>
      <c r="I21" s="31" t="inlineStr">
        <is>
          <t>Im Plan</t>
        </is>
      </c>
      <c r="J21" s="31" t="inlineStr">
        <is>
          <t>Ja</t>
        </is>
      </c>
      <c r="K21" s="31" t="inlineStr">
        <is>
          <t>Fixed commitment. Cannot move without sponsor approval.</t>
        </is>
      </c>
    </row>
    <row r="22" ht="15" customHeight="1" s="23">
      <c r="A22" s="33" t="inlineStr">
        <is>
          <t>M-18</t>
        </is>
      </c>
      <c r="B22" s="33" t="inlineStr">
        <is>
          <t>Integrationsorganisation in den Regelbetrieb ueberfuehrt</t>
        </is>
      </c>
      <c r="C22" s="33" t="inlineStr">
        <is>
          <t>Post Day 100</t>
        </is>
      </c>
      <c r="D22" s="33" t="inlineStr">
        <is>
          <t>WS4 Personal</t>
        </is>
      </c>
      <c r="E22" s="33" t="inlineStr">
        <is>
          <t>D. Okonjo</t>
        </is>
      </c>
      <c r="F22" s="34" t="n">
        <v>42720</v>
      </c>
      <c r="G22" s="34" t="n">
        <v>42720</v>
      </c>
      <c r="H22" s="37">
        <f>G22-F22</f>
        <v/>
      </c>
      <c r="I22" s="33" t="inlineStr">
        <is>
          <t>Im Plan</t>
        </is>
      </c>
      <c r="J22" s="33" t="inlineStr">
        <is>
          <t>Nein</t>
        </is>
      </c>
      <c r="K22" s="33" t="inlineStr">
        <is>
          <t>Handover of open items to functional owners.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22" min="1" max="1"/>
    <col width="52" customWidth="1" style="22" min="2" max="2"/>
    <col width="48" customWidth="1" style="22" min="3" max="3"/>
    <col width="18" customWidth="1" style="22" min="4" max="4"/>
    <col width="12" customWidth="1" style="22" min="5" max="5"/>
    <col width="22" customWidth="1" style="22" min="6" max="6"/>
    <col width="18" customWidth="1" style="22" min="7" max="7"/>
    <col width="16" customWidth="1" style="22" min="8" max="8"/>
  </cols>
  <sheetData>
    <row r="1" ht="16.15" customHeight="1" s="23">
      <c r="A1" s="24" t="inlineStr">
        <is>
          <t>Beschlussregister (Decision Log)</t>
        </is>
      </c>
    </row>
    <row r="2" ht="15" customHeight="1" s="23">
      <c r="A2" s="25" t="inlineStr">
        <is>
          <t>Beschluesse aus VCIO Weekly und Steering Committee, Stand 29.09.2016</t>
        </is>
      </c>
    </row>
    <row r="4" ht="30" customHeight="1" s="23">
      <c r="A4" s="30" t="inlineStr">
        <is>
          <t>ID</t>
        </is>
      </c>
      <c r="B4" s="30" t="inlineStr">
        <is>
          <t>Beschluss</t>
        </is>
      </c>
      <c r="C4" s="30" t="inlineStr">
        <is>
          <t>Begruendung</t>
        </is>
      </c>
      <c r="D4" s="30" t="inlineStr">
        <is>
          <t>Gremium</t>
        </is>
      </c>
      <c r="E4" s="30" t="inlineStr">
        <is>
          <t>Datum</t>
        </is>
      </c>
      <c r="F4" s="30" t="inlineStr">
        <is>
          <t>Betroffene Teilprojekte</t>
        </is>
      </c>
      <c r="G4" s="30" t="inlineStr">
        <is>
          <t>Umsetzung durch</t>
        </is>
      </c>
      <c r="H4" s="30" t="inlineStr">
        <is>
          <t>Umsetzungsstand</t>
        </is>
      </c>
    </row>
    <row r="5" ht="22.35" customHeight="1" s="23">
      <c r="A5" s="31" t="inlineStr">
        <is>
          <t>B-01</t>
        </is>
      </c>
      <c r="B5" s="31" t="inlineStr">
        <is>
          <t>Den Wertpriorisierungsrahmen als alleinige Grundlage fuer die Reihenfolge der Integrationsarbeit einfuehren</t>
        </is>
      </c>
      <c r="C5" s="31" t="inlineStr">
        <is>
          <t>Focus the office on the fifth of the opportunities that carries most of the accretive value, seen through a customer-first lens</t>
        </is>
      </c>
      <c r="D5" s="31" t="inlineStr">
        <is>
          <t>Steering Committee</t>
        </is>
      </c>
      <c r="E5" s="32" t="n">
        <v>42628</v>
      </c>
      <c r="F5" s="31" t="inlineStr">
        <is>
          <t>all</t>
        </is>
      </c>
      <c r="G5" s="31" t="inlineStr">
        <is>
          <t>A. Vasquez</t>
        </is>
      </c>
      <c r="H5" s="31" t="inlineStr">
        <is>
          <t>Implemented</t>
        </is>
      </c>
    </row>
    <row r="6" ht="22.35" customHeight="1" s="23">
      <c r="A6" s="33" t="inlineStr">
        <is>
          <t>B-02</t>
        </is>
      </c>
      <c r="B6" s="33" t="inlineStr">
        <is>
          <t>Den Integration Tracker als alleinige Quelle fuer Aufgaben, Meilensteine und Termine verbindlich setzen</t>
        </is>
      </c>
      <c r="C6" s="33" t="inlineStr">
        <is>
          <t>Six reporting formats were reaching the office and reconciliation was consuming the analyst capacity intended for analysis</t>
        </is>
      </c>
      <c r="D6" s="33" t="inlineStr">
        <is>
          <t>Steering Committee</t>
        </is>
      </c>
      <c r="E6" s="34" t="n">
        <v>42628</v>
      </c>
      <c r="F6" s="33" t="inlineStr">
        <is>
          <t>all</t>
        </is>
      </c>
      <c r="G6" s="33" t="inlineStr">
        <is>
          <t>S. Lindqvist</t>
        </is>
      </c>
      <c r="H6" s="33" t="inlineStr">
        <is>
          <t>In progress</t>
        </is>
      </c>
    </row>
    <row r="7" ht="32.8" customHeight="1" s="23">
      <c r="A7" s="31" t="inlineStr">
        <is>
          <t>B-03</t>
        </is>
      </c>
      <c r="B7" s="31" t="inlineStr">
        <is>
          <t>Jeden Uebergabetermin zwischen Teilprojekten von beiden Teilprojektleitungen im Abhaengigkeitsregister bestaetigen lassen</t>
        </is>
      </c>
      <c r="C7" s="31" t="inlineStr">
        <is>
          <t>Teams understand their own responsibilities but not how their activities land on others; unconfirmed handovers were the largest single source of slippage</t>
        </is>
      </c>
      <c r="D7" s="31" t="inlineStr">
        <is>
          <t>Steering Committee</t>
        </is>
      </c>
      <c r="E7" s="32" t="n">
        <v>42628</v>
      </c>
      <c r="F7" s="31" t="inlineStr">
        <is>
          <t>all</t>
        </is>
      </c>
      <c r="G7" s="31" t="inlineStr">
        <is>
          <t>D. Okonjo</t>
        </is>
      </c>
      <c r="H7" s="31" t="inlineStr">
        <is>
          <t>In progress</t>
        </is>
      </c>
    </row>
    <row r="8" ht="32.8" customHeight="1" s="23">
      <c r="A8" s="33" t="inlineStr">
        <is>
          <t>B-04</t>
        </is>
      </c>
      <c r="B8" s="33" t="inlineStr">
        <is>
          <t>Den Umfang der laufenden ERP-Modernisierung beim Zielunternehmen einfrieren, bis das Zielbild der Konsolidierung freigegeben ist</t>
        </is>
      </c>
      <c r="C8" s="33" t="inlineStr">
        <is>
          <t>The upgrade and the integration design were competing for the same architecture decisions and the same people</t>
        </is>
      </c>
      <c r="D8" s="33" t="inlineStr">
        <is>
          <t>VCIO</t>
        </is>
      </c>
      <c r="E8" s="34" t="n">
        <v>42634</v>
      </c>
      <c r="F8" s="33" t="inlineStr">
        <is>
          <t>WS3, WS1, WS5</t>
        </is>
      </c>
      <c r="G8" s="33" t="inlineStr">
        <is>
          <t>T. Bergström</t>
        </is>
      </c>
      <c r="H8" s="33" t="inlineStr">
        <is>
          <t>In progress</t>
        </is>
      </c>
    </row>
    <row r="9" ht="32.8" customHeight="1" s="23">
      <c r="A9" s="31" t="inlineStr">
        <is>
          <t>B-05</t>
        </is>
      </c>
      <c r="B9" s="31" t="inlineStr">
        <is>
          <t>Mitbestimmte Einheiten aus der ersten Organisationsankuendigung ausnehmen</t>
        </is>
      </c>
      <c r="C9" s="31" t="inlineStr">
        <is>
          <t>German consultation is a legal gate, not a communication preference; announcing before it concludes would create a compliance exposure</t>
        </is>
      </c>
      <c r="D9" s="31" t="inlineStr">
        <is>
          <t>VCIO</t>
        </is>
      </c>
      <c r="E9" s="32" t="n">
        <v>42640</v>
      </c>
      <c r="F9" s="31" t="inlineStr">
        <is>
          <t>WS4</t>
        </is>
      </c>
      <c r="G9" s="31" t="inlineStr">
        <is>
          <t>W. Kempowski</t>
        </is>
      </c>
      <c r="H9" s="31" t="inlineStr">
        <is>
          <t>Open</t>
        </is>
      </c>
    </row>
    <row r="10" ht="22.35" customHeight="1" s="23">
      <c r="A10" s="33" t="inlineStr">
        <is>
          <t>B-06</t>
        </is>
      </c>
      <c r="B10" s="33" t="inlineStr">
        <is>
          <t>Nur von Finance validierte Initiativen als gesicherte Synergie ausweisen</t>
        </is>
      </c>
      <c r="C10" s="33" t="inlineStr">
        <is>
          <t>Reported secured value was running ahead of what the baseline could support</t>
        </is>
      </c>
      <c r="D10" s="33" t="inlineStr">
        <is>
          <t>Steering Committee</t>
        </is>
      </c>
      <c r="E10" s="34" t="n">
        <v>42628</v>
      </c>
      <c r="F10" s="33" t="inlineStr">
        <is>
          <t>all</t>
        </is>
      </c>
      <c r="G10" s="33" t="inlineStr">
        <is>
          <t>M. Haddad</t>
        </is>
      </c>
      <c r="H10" s="33" t="inlineStr">
        <is>
          <t>Implemented</t>
        </is>
      </c>
    </row>
    <row r="11" ht="22.35" customHeight="1" s="23">
      <c r="A11" s="31" t="inlineStr">
        <is>
          <t>B-07</t>
        </is>
      </c>
      <c r="B11" s="31" t="inlineStr">
        <is>
          <t>Den Termin des Wertrealisierungsberichts zu Day 100 halten und stattdessen den Umfang neu takten</t>
        </is>
      </c>
      <c r="C11" s="31" t="inlineStr">
        <is>
          <t>The date is a sponsor commitment; scope is the variable that can move</t>
        </is>
      </c>
      <c r="D11" s="31" t="inlineStr">
        <is>
          <t>Steering Committee</t>
        </is>
      </c>
      <c r="E11" s="32" t="n">
        <v>42642</v>
      </c>
      <c r="F11" s="31" t="inlineStr">
        <is>
          <t>all</t>
        </is>
      </c>
      <c r="G11" s="31" t="inlineStr">
        <is>
          <t>A. Vasquez</t>
        </is>
      </c>
      <c r="H11" s="31" t="inlineStr">
        <is>
          <t>Open</t>
        </is>
      </c>
    </row>
    <row r="12" ht="22.35" customHeight="1" s="23">
      <c r="A12" s="33" t="inlineStr">
        <is>
          <t>B-08</t>
        </is>
      </c>
      <c r="B12" s="33" t="inlineStr">
        <is>
          <t>Bis zum Inkrafttreten des Betreuungsmodells woechentlich eine vorlaeufige Kundenzuordnung veroeffentlichen</t>
        </is>
      </c>
      <c r="C12" s="33" t="inlineStr">
        <is>
          <t>Two field organisations were calling on the same accounts</t>
        </is>
      </c>
      <c r="D12" s="33" t="inlineStr">
        <is>
          <t>VCIO</t>
        </is>
      </c>
      <c r="E12" s="34" t="n">
        <v>42633</v>
      </c>
      <c r="F12" s="33" t="inlineStr">
        <is>
          <t>WS6</t>
        </is>
      </c>
      <c r="G12" s="33" t="inlineStr">
        <is>
          <t>L. Kowalczyk</t>
        </is>
      </c>
      <c r="H12" s="33" t="inlineStr">
        <is>
          <t>Implemented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22" min="1" max="1"/>
    <col width="52" customWidth="1" style="22" min="2" max="2"/>
    <col width="26" customWidth="1" style="22" min="3" max="3"/>
    <col width="18" customWidth="1" style="22" min="4" max="4"/>
    <col width="13" customWidth="1" style="22" min="5" max="5"/>
    <col width="17" customWidth="1" style="22" min="6" max="6"/>
    <col width="14" customWidth="1" style="22" min="7" max="7"/>
    <col width="15" customWidth="1" style="22" min="8" max="8"/>
    <col width="14" customWidth="1" style="22" min="9" max="9"/>
  </cols>
  <sheetData>
    <row r="1" ht="16.15" customHeight="1" s="23">
      <c r="A1" s="24" t="inlineStr">
        <is>
          <t>Massnahmenverfolgung (Action Item Log)</t>
        </is>
      </c>
    </row>
    <row r="2" ht="15" customHeight="1" s="23">
      <c r="A2" s="25" t="inlineStr">
        <is>
          <t>Offene Punkte aus Sitzungen, Stand 29.09.2016  |  2 von 12 geschlossen, 2 verschoben</t>
        </is>
      </c>
    </row>
    <row r="4" ht="30" customHeight="1" s="23">
      <c r="A4" s="30" t="inlineStr">
        <is>
          <t>Nr.</t>
        </is>
      </c>
      <c r="B4" s="30" t="inlineStr">
        <is>
          <t>Offener Punkt</t>
        </is>
      </c>
      <c r="C4" s="30" t="inlineStr">
        <is>
          <t>Quelle</t>
        </is>
      </c>
      <c r="D4" s="30" t="inlineStr">
        <is>
          <t>Verantwortlich</t>
        </is>
      </c>
      <c r="E4" s="30" t="inlineStr">
        <is>
          <t>Teilprojekt</t>
        </is>
      </c>
      <c r="F4" s="30" t="inlineStr">
        <is>
          <t>Urspruenglich faellig</t>
        </is>
      </c>
      <c r="G4" s="30" t="inlineStr">
        <is>
          <t>Neuer Termin</t>
        </is>
      </c>
      <c r="H4" s="30" t="inlineStr">
        <is>
          <t>Verschiebungen</t>
        </is>
      </c>
      <c r="I4" s="30" t="inlineStr">
        <is>
          <t>Status</t>
        </is>
      </c>
    </row>
    <row r="5" ht="22.35" customHeight="1" s="23">
      <c r="A5" s="31" t="inlineStr">
        <is>
          <t>OP-01</t>
        </is>
      </c>
      <c r="B5" s="31" t="inlineStr">
        <is>
          <t>Die aktualisierte Abhaengigkeitskarte an alle Teilprojektleitungen versenden</t>
        </is>
      </c>
      <c r="C5" s="31" t="inlineStr">
        <is>
          <t>SteerCo session 01, 15 September 2016</t>
        </is>
      </c>
      <c r="D5" s="31" t="inlineStr">
        <is>
          <t>D. Okonjo</t>
        </is>
      </c>
      <c r="E5" s="31" t="inlineStr">
        <is>
          <t>WS3</t>
        </is>
      </c>
      <c r="F5" s="32" t="n">
        <v>42636</v>
      </c>
      <c r="G5" s="32" t="n">
        <v>42643</v>
      </c>
      <c r="H5" s="31" t="n">
        <v>1</v>
      </c>
      <c r="I5" s="31" t="inlineStr">
        <is>
          <t>In Arbeit</t>
        </is>
      </c>
    </row>
    <row r="6" ht="22.35" customHeight="1" s="23">
      <c r="A6" s="33" t="inlineStr">
        <is>
          <t>OP-02</t>
        </is>
      </c>
      <c r="B6" s="33" t="inlineStr">
        <is>
          <t>Wiederanlaufplan fuer das ERP-Zielbild mit datierter Prognose vorlegen</t>
        </is>
      </c>
      <c r="C6" s="33" t="inlineStr">
        <is>
          <t>SteerCo session 01, 15 September 2016</t>
        </is>
      </c>
      <c r="D6" s="33" t="inlineStr">
        <is>
          <t>T. Bergström</t>
        </is>
      </c>
      <c r="E6" s="33" t="inlineStr">
        <is>
          <t>WS3</t>
        </is>
      </c>
      <c r="F6" s="34" t="n">
        <v>42642</v>
      </c>
      <c r="G6" s="34" t="n">
        <v>42642</v>
      </c>
      <c r="H6" s="33" t="n">
        <v>0</v>
      </c>
      <c r="I6" s="33" t="inlineStr">
        <is>
          <t>In Arbeit</t>
        </is>
      </c>
    </row>
    <row r="7" ht="22.35" customHeight="1" s="23">
      <c r="A7" s="31" t="inlineStr">
        <is>
          <t>OP-03</t>
        </is>
      </c>
      <c r="B7" s="31" t="inlineStr">
        <is>
          <t>Den Zeitplan der Betriebsratsanhoerung schriftlich bestaetigen</t>
        </is>
      </c>
      <c r="C7" s="31" t="inlineStr">
        <is>
          <t>SteerCo session 01, 15 September 2016</t>
        </is>
      </c>
      <c r="D7" s="31" t="inlineStr">
        <is>
          <t>W. Kempowski</t>
        </is>
      </c>
      <c r="E7" s="31" t="inlineStr">
        <is>
          <t>WS4</t>
        </is>
      </c>
      <c r="F7" s="32" t="n">
        <v>42643</v>
      </c>
      <c r="G7" s="32" t="n">
        <v>42643</v>
      </c>
      <c r="H7" s="31" t="n">
        <v>0</v>
      </c>
      <c r="I7" s="31" t="inlineStr">
        <is>
          <t>In Arbeit</t>
        </is>
      </c>
    </row>
    <row r="8" ht="22.35" customHeight="1" s="23">
      <c r="A8" s="33" t="inlineStr">
        <is>
          <t>OP-04</t>
        </is>
      </c>
      <c r="B8" s="33" t="inlineStr">
        <is>
          <t>Die berichtete gesicherte Synergie auf den von Finance validierten Wert abstimmen</t>
        </is>
      </c>
      <c r="C8" s="33" t="inlineStr">
        <is>
          <t>SteerCo session 01, 15 September 2016</t>
        </is>
      </c>
      <c r="D8" s="33" t="inlineStr">
        <is>
          <t>M. Haddad</t>
        </is>
      </c>
      <c r="E8" s="33" t="inlineStr">
        <is>
          <t>WS1</t>
        </is>
      </c>
      <c r="F8" s="34" t="n">
        <v>42641</v>
      </c>
      <c r="G8" s="34" t="n">
        <v>42641</v>
      </c>
      <c r="H8" s="33" t="n">
        <v>0</v>
      </c>
      <c r="I8" s="33" t="inlineStr">
        <is>
          <t>Erledigt</t>
        </is>
      </c>
    </row>
    <row r="9" ht="22.35" customHeight="1" s="23">
      <c r="A9" s="31" t="inlineStr">
        <is>
          <t>OP-05</t>
        </is>
      </c>
      <c r="B9" s="31" t="inlineStr">
        <is>
          <t>Die steuerliche Pruefung der EMEA-Gesellschaftskette eskalieren und einen Abschlusstermin benennen</t>
        </is>
      </c>
      <c r="C9" s="31" t="inlineStr">
        <is>
          <t>IMO weekly, 27 September 2016</t>
        </is>
      </c>
      <c r="D9" s="31" t="inlineStr">
        <is>
          <t>N. Devereux</t>
        </is>
      </c>
      <c r="E9" s="31" t="inlineStr">
        <is>
          <t>WS2</t>
        </is>
      </c>
      <c r="F9" s="32" t="n">
        <v>42646</v>
      </c>
      <c r="G9" s="32" t="n">
        <v>42646</v>
      </c>
      <c r="H9" s="31" t="n">
        <v>0</v>
      </c>
      <c r="I9" s="31" t="inlineStr">
        <is>
          <t>Offen</t>
        </is>
      </c>
    </row>
    <row r="10" ht="22.35" customHeight="1" s="23">
      <c r="A10" s="33" t="inlineStr">
        <is>
          <t>OP-06</t>
        </is>
      </c>
      <c r="B10" s="33" t="inlineStr">
        <is>
          <t>Vor jeder Migrationswelle ein Datenqualitaetstor einziehen</t>
        </is>
      </c>
      <c r="C10" s="33" t="inlineStr">
        <is>
          <t>Expert session, 21 September 2016</t>
        </is>
      </c>
      <c r="D10" s="33" t="inlineStr">
        <is>
          <t>G. Aydin</t>
        </is>
      </c>
      <c r="E10" s="33" t="inlineStr">
        <is>
          <t>WS3</t>
        </is>
      </c>
      <c r="F10" s="34" t="n">
        <v>42648</v>
      </c>
      <c r="G10" s="34" t="n">
        <v>42648</v>
      </c>
      <c r="H10" s="33" t="n">
        <v>0</v>
      </c>
      <c r="I10" s="33" t="inlineStr">
        <is>
          <t>In Arbeit</t>
        </is>
      </c>
    </row>
    <row r="11" ht="22.35" customHeight="1" s="23">
      <c r="A11" s="31" t="inlineStr">
        <is>
          <t>OP-07</t>
        </is>
      </c>
      <c r="B11" s="31" t="inlineStr">
        <is>
          <t>Die Kommunikation des Betreuungsmodells um zwei Wochen vorziehen</t>
        </is>
      </c>
      <c r="C11" s="31" t="inlineStr">
        <is>
          <t>IMO weekly, 27 September 2016</t>
        </is>
      </c>
      <c r="D11" s="31" t="inlineStr">
        <is>
          <t>L. Kowalczyk</t>
        </is>
      </c>
      <c r="E11" s="31" t="inlineStr">
        <is>
          <t>WS6</t>
        </is>
      </c>
      <c r="F11" s="32" t="n">
        <v>42650</v>
      </c>
      <c r="G11" s="32" t="n">
        <v>42650</v>
      </c>
      <c r="H11" s="31" t="n">
        <v>0</v>
      </c>
      <c r="I11" s="31" t="inlineStr">
        <is>
          <t>Offen</t>
        </is>
      </c>
    </row>
    <row r="12" ht="22.35" customHeight="1" s="23">
      <c r="A12" s="33" t="inlineStr">
        <is>
          <t>OP-08</t>
        </is>
      </c>
      <c r="B12" s="33" t="inlineStr">
        <is>
          <t>Die Tabelle der Rolleninhaber nach dem Wechsel der Teilprojektleitung Personal aktualisieren</t>
        </is>
      </c>
      <c r="C12" s="33" t="inlineStr">
        <is>
          <t>IMO weekly, 20 September 2016</t>
        </is>
      </c>
      <c r="D12" s="33" t="inlineStr">
        <is>
          <t>D. Okonjo</t>
        </is>
      </c>
      <c r="E12" s="33" t="inlineStr">
        <is>
          <t>WS4</t>
        </is>
      </c>
      <c r="F12" s="34" t="n">
        <v>42636</v>
      </c>
      <c r="G12" s="34" t="n">
        <v>42643</v>
      </c>
      <c r="H12" s="33" t="n">
        <v>1</v>
      </c>
      <c r="I12" s="33" t="inlineStr">
        <is>
          <t>In Arbeit</t>
        </is>
      </c>
    </row>
    <row r="13" ht="22.35" customHeight="1" s="23">
      <c r="A13" s="31" t="inlineStr">
        <is>
          <t>OP-09</t>
        </is>
      </c>
      <c r="B13" s="31" t="inlineStr">
        <is>
          <t>Die versicherungsmathematische Pruefung der Pensionsverpflichtung beauftragen</t>
        </is>
      </c>
      <c r="C13" s="31" t="inlineStr">
        <is>
          <t>WS1 jour fixe, 27 September 2016</t>
        </is>
      </c>
      <c r="D13" s="31" t="inlineStr">
        <is>
          <t>R. Whitfield</t>
        </is>
      </c>
      <c r="E13" s="31" t="inlineStr">
        <is>
          <t>WS1</t>
        </is>
      </c>
      <c r="F13" s="32" t="n">
        <v>42646</v>
      </c>
      <c r="G13" s="32" t="n">
        <v>42646</v>
      </c>
      <c r="H13" s="31" t="n">
        <v>0</v>
      </c>
      <c r="I13" s="31" t="inlineStr">
        <is>
          <t>Offen</t>
        </is>
      </c>
    </row>
    <row r="14" ht="22.35" customHeight="1" s="23">
      <c r="A14" s="33" t="inlineStr">
        <is>
          <t>OP-10</t>
        </is>
      </c>
      <c r="B14" s="33" t="inlineStr">
        <is>
          <t>Die vorlaeufige Kundenzuordnung erstmals veroeffentlichen</t>
        </is>
      </c>
      <c r="C14" s="33" t="inlineStr">
        <is>
          <t>VCIO decision B-08, 20 September 2016</t>
        </is>
      </c>
      <c r="D14" s="33" t="inlineStr">
        <is>
          <t>L. Kowalczyk</t>
        </is>
      </c>
      <c r="E14" s="33" t="inlineStr">
        <is>
          <t>WS6</t>
        </is>
      </c>
      <c r="F14" s="34" t="n">
        <v>42639</v>
      </c>
      <c r="G14" s="34" t="n">
        <v>42639</v>
      </c>
      <c r="H14" s="33" t="n">
        <v>0</v>
      </c>
      <c r="I14" s="33" t="inlineStr">
        <is>
          <t>Erledigt</t>
        </is>
      </c>
    </row>
    <row r="15" ht="22.35" customHeight="1" s="23">
      <c r="A15" s="31" t="inlineStr">
        <is>
          <t>OP-11</t>
        </is>
      </c>
      <c r="B15" s="31" t="inlineStr">
        <is>
          <t>Umsetzungskosten fuer Initiativen ausserhalb des kritischen Pfades neu takten</t>
        </is>
      </c>
      <c r="C15" s="31" t="inlineStr">
        <is>
          <t>IMO weekly, 27 September 2016</t>
        </is>
      </c>
      <c r="D15" s="31" t="inlineStr">
        <is>
          <t>R. Whitfield</t>
        </is>
      </c>
      <c r="E15" s="31" t="inlineStr">
        <is>
          <t>WS1</t>
        </is>
      </c>
      <c r="F15" s="32" t="n">
        <v>42657</v>
      </c>
      <c r="G15" s="32" t="n">
        <v>42657</v>
      </c>
      <c r="H15" s="31" t="n">
        <v>0</v>
      </c>
      <c r="I15" s="31" t="inlineStr">
        <is>
          <t>Offen</t>
        </is>
      </c>
    </row>
    <row r="16" ht="22.35" customHeight="1" s="23">
      <c r="A16" s="33" t="inlineStr">
        <is>
          <t>OP-12</t>
        </is>
      </c>
      <c r="B16" s="33" t="inlineStr">
        <is>
          <t>Den Vertrieb vor der Leitveranstaltung zur Portfolio-Konkordanz briefen</t>
        </is>
      </c>
      <c r="C16" s="33" t="inlineStr">
        <is>
          <t>IMO weekly, 27 September 2016</t>
        </is>
      </c>
      <c r="D16" s="33" t="inlineStr">
        <is>
          <t>E. Brannigan</t>
        </is>
      </c>
      <c r="E16" s="33" t="inlineStr">
        <is>
          <t>WS6</t>
        </is>
      </c>
      <c r="F16" s="34" t="n">
        <v>42650</v>
      </c>
      <c r="G16" s="34" t="n">
        <v>42650</v>
      </c>
      <c r="H16" s="33" t="n">
        <v>0</v>
      </c>
      <c r="I16" s="33" t="inlineStr">
        <is>
          <t>In Arbeit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22" min="1" max="1"/>
    <col width="58" customWidth="1" style="22" min="2" max="2"/>
    <col width="16" customWidth="1" style="22" min="3" max="4"/>
    <col width="14" customWidth="1" style="22" min="5" max="6"/>
    <col width="19" customWidth="1" style="22" min="7" max="7"/>
    <col width="14" customWidth="1" style="22" min="8" max="8"/>
  </cols>
  <sheetData>
    <row r="1" ht="16.15" customHeight="1" s="23">
      <c r="A1" s="24" t="inlineStr">
        <is>
          <t>Abhaengigkeitsregister (Dependency Register)</t>
        </is>
      </c>
    </row>
    <row r="2" ht="15" customHeight="1" s="23">
      <c r="A2" s="25" t="inlineStr">
        <is>
          <t>Uebergaben zwischen Teilprojekten  |  Beschluss B-03 verlangt Bestaetigung durch beide Leitungen  |  2 offen</t>
        </is>
      </c>
    </row>
    <row r="4" ht="30" customHeight="1" s="23">
      <c r="A4" s="30" t="inlineStr">
        <is>
          <t>ID</t>
        </is>
      </c>
      <c r="B4" s="30" t="inlineStr">
        <is>
          <t>Uebergabe</t>
        </is>
      </c>
      <c r="C4" s="30" t="inlineStr">
        <is>
          <t>Von Teilprojekt</t>
        </is>
      </c>
      <c r="D4" s="30" t="inlineStr">
        <is>
          <t>An Teilprojekt</t>
        </is>
      </c>
      <c r="E4" s="30" t="inlineStr">
        <is>
          <t>Benoetigt bis</t>
        </is>
      </c>
      <c r="F4" s="30" t="inlineStr">
        <is>
          <t>Kritikalitaet</t>
        </is>
      </c>
      <c r="G4" s="30" t="inlineStr">
        <is>
          <t>Von beiden bestaetigt</t>
        </is>
      </c>
      <c r="H4" s="30" t="inlineStr">
        <is>
          <t>Status</t>
        </is>
      </c>
    </row>
    <row r="5" ht="15" customHeight="1" s="23">
      <c r="A5" s="31" t="inlineStr">
        <is>
          <t>D-01</t>
        </is>
      </c>
      <c r="B5" s="31" t="inlineStr">
        <is>
          <t>Approved legal entity structure required to fix the consolidation scope</t>
        </is>
      </c>
      <c r="C5" s="31" t="inlineStr">
        <is>
          <t>WS2 Steuern</t>
        </is>
      </c>
      <c r="D5" s="31" t="inlineStr">
        <is>
          <t>WS1 Finanzen</t>
        </is>
      </c>
      <c r="E5" s="32" t="n">
        <v>42655</v>
      </c>
      <c r="F5" s="31" t="inlineStr">
        <is>
          <t>Critical</t>
        </is>
      </c>
      <c r="G5" s="31" t="inlineStr">
        <is>
          <t>Nein</t>
        </is>
      </c>
      <c r="H5" s="38" t="inlineStr">
        <is>
          <t>At risk</t>
        </is>
      </c>
    </row>
    <row r="6" ht="15" customHeight="1" s="23">
      <c r="A6" s="33" t="inlineStr">
        <is>
          <t>D-02</t>
        </is>
      </c>
      <c r="B6" s="33" t="inlineStr">
        <is>
          <t>ERP target system decision required before the material master re-extract</t>
        </is>
      </c>
      <c r="C6" s="33" t="inlineStr">
        <is>
          <t>WS3 IT</t>
        </is>
      </c>
      <c r="D6" s="33" t="inlineStr">
        <is>
          <t>WS5 Lieferkette</t>
        </is>
      </c>
      <c r="E6" s="34" t="n">
        <v>42646</v>
      </c>
      <c r="F6" s="33" t="inlineStr">
        <is>
          <t>Critical</t>
        </is>
      </c>
      <c r="G6" s="33" t="inlineStr">
        <is>
          <t>Ja</t>
        </is>
      </c>
      <c r="H6" s="36" t="inlineStr">
        <is>
          <t>Delayed</t>
        </is>
      </c>
    </row>
    <row r="7" ht="15" customHeight="1" s="23">
      <c r="A7" s="31" t="inlineStr">
        <is>
          <t>D-03</t>
        </is>
      </c>
      <c r="B7" s="31" t="inlineStr">
        <is>
          <t>Works council conclusion required before the organisation structure release</t>
        </is>
      </c>
      <c r="C7" s="31" t="inlineStr">
        <is>
          <t>WS4 Personal</t>
        </is>
      </c>
      <c r="D7" s="31" t="inlineStr">
        <is>
          <t>WS4 Personal</t>
        </is>
      </c>
      <c r="E7" s="32" t="n">
        <v>42671</v>
      </c>
      <c r="F7" s="31" t="inlineStr">
        <is>
          <t>Critical</t>
        </is>
      </c>
      <c r="G7" s="31" t="inlineStr">
        <is>
          <t>Ja</t>
        </is>
      </c>
      <c r="H7" s="38" t="inlineStr">
        <is>
          <t>At risk</t>
        </is>
      </c>
    </row>
    <row r="8" ht="22.35" customHeight="1" s="23">
      <c r="A8" s="33" t="inlineStr">
        <is>
          <t>D-04</t>
        </is>
      </c>
      <c r="B8" s="33" t="inlineStr">
        <is>
          <t>Compensation plan design required before territory and quota alignment</t>
        </is>
      </c>
      <c r="C8" s="33" t="inlineStr">
        <is>
          <t>WS4 Personal</t>
        </is>
      </c>
      <c r="D8" s="33" t="inlineStr">
        <is>
          <t>WS6 Vertrieb und Marketing</t>
        </is>
      </c>
      <c r="E8" s="34" t="n">
        <v>42654</v>
      </c>
      <c r="F8" s="33" t="inlineStr">
        <is>
          <t>High</t>
        </is>
      </c>
      <c r="G8" s="33" t="inlineStr">
        <is>
          <t>Ja</t>
        </is>
      </c>
      <c r="H8" s="33" t="inlineStr">
        <is>
          <t>On track</t>
        </is>
      </c>
    </row>
    <row r="9" ht="15" customHeight="1" s="23">
      <c r="A9" s="31" t="inlineStr">
        <is>
          <t>D-05</t>
        </is>
      </c>
      <c r="B9" s="31" t="inlineStr">
        <is>
          <t>Spend cube required before logistics renegotiation can be scoped</t>
        </is>
      </c>
      <c r="C9" s="31" t="inlineStr">
        <is>
          <t>WS5 Lieferkette</t>
        </is>
      </c>
      <c r="D9" s="31" t="inlineStr">
        <is>
          <t>WS5 Lieferkette</t>
        </is>
      </c>
      <c r="E9" s="32" t="n">
        <v>42657</v>
      </c>
      <c r="F9" s="31" t="inlineStr">
        <is>
          <t>High</t>
        </is>
      </c>
      <c r="G9" s="31" t="inlineStr">
        <is>
          <t>Ja</t>
        </is>
      </c>
      <c r="H9" s="31" t="inlineStr">
        <is>
          <t>On track</t>
        </is>
      </c>
    </row>
    <row r="10" ht="15" customHeight="1" s="23">
      <c r="A10" s="33" t="inlineStr">
        <is>
          <t>D-06</t>
        </is>
      </c>
      <c r="B10" s="33" t="inlineStr">
        <is>
          <t>Lease expiry analysis required before the EMEA site plan is approved</t>
        </is>
      </c>
      <c r="C10" s="33" t="inlineStr">
        <is>
          <t>WS7 Immobilien</t>
        </is>
      </c>
      <c r="D10" s="33" t="inlineStr">
        <is>
          <t>WS7 Immobilien</t>
        </is>
      </c>
      <c r="E10" s="34" t="n">
        <v>42664</v>
      </c>
      <c r="F10" s="33" t="inlineStr">
        <is>
          <t>Medium</t>
        </is>
      </c>
      <c r="G10" s="33" t="inlineStr">
        <is>
          <t>Ja</t>
        </is>
      </c>
      <c r="H10" s="33" t="inlineStr">
        <is>
          <t>On track</t>
        </is>
      </c>
    </row>
    <row r="11" ht="15" customHeight="1" s="23">
      <c r="A11" s="31" t="inlineStr">
        <is>
          <t>D-07</t>
        </is>
      </c>
      <c r="B11" s="31" t="inlineStr">
        <is>
          <t>Entity plan required before transfer pricing documentation can begin</t>
        </is>
      </c>
      <c r="C11" s="31" t="inlineStr">
        <is>
          <t>WS2 Steuern</t>
        </is>
      </c>
      <c r="D11" s="31" t="inlineStr">
        <is>
          <t>WS2 Steuern</t>
        </is>
      </c>
      <c r="E11" s="32" t="n">
        <v>42655</v>
      </c>
      <c r="F11" s="31" t="inlineStr">
        <is>
          <t>High</t>
        </is>
      </c>
      <c r="G11" s="31" t="inlineStr">
        <is>
          <t>Nein</t>
        </is>
      </c>
      <c r="H11" s="38" t="inlineStr">
        <is>
          <t>At risk</t>
        </is>
      </c>
    </row>
    <row r="12" ht="22.35" customHeight="1" s="23">
      <c r="A12" s="33" t="inlineStr">
        <is>
          <t>D-08</t>
        </is>
      </c>
      <c r="B12" s="33" t="inlineStr">
        <is>
          <t>Portfolio cross-reference required before the flagship event narrative</t>
        </is>
      </c>
      <c r="C12" s="33" t="inlineStr">
        <is>
          <t>WS6 Vertrieb und Marketing</t>
        </is>
      </c>
      <c r="D12" s="33" t="inlineStr">
        <is>
          <t>WS6 Vertrieb und Marketing</t>
        </is>
      </c>
      <c r="E12" s="34" t="n">
        <v>42654</v>
      </c>
      <c r="F12" s="33" t="inlineStr">
        <is>
          <t>High</t>
        </is>
      </c>
      <c r="G12" s="33" t="inlineStr">
        <is>
          <t>Ja</t>
        </is>
      </c>
      <c r="H12" s="33" t="inlineStr">
        <is>
          <t>On track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22" min="1" max="1"/>
    <col width="12" customWidth="1" style="22" min="2" max="2"/>
    <col width="15" customWidth="1" style="22" min="3" max="3"/>
    <col width="17" customWidth="1" style="22" min="4" max="4"/>
    <col width="14" customWidth="1" style="22" min="5" max="6"/>
    <col width="17" customWidth="1" style="22" min="7" max="7"/>
  </cols>
  <sheetData>
    <row r="1" ht="16.15" customHeight="1" s="23">
      <c r="A1" s="24" t="inlineStr">
        <is>
          <t>Auswertung (Summary)</t>
        </is>
      </c>
    </row>
    <row r="2" ht="15" customHeight="1" s="23">
      <c r="A2" s="25" t="inlineStr">
        <is>
          <t>Rechnet automatisch aus den Registern Massnahmenplan und Meilensteine. Keine Eingabe.</t>
        </is>
      </c>
    </row>
    <row r="4" ht="15" customHeight="1" s="23">
      <c r="A4" s="26" t="inlineStr">
        <is>
          <t>Aufgaben nach Status</t>
        </is>
      </c>
    </row>
    <row r="5" ht="30" customHeight="1" s="23">
      <c r="A5" s="30" t="inlineStr">
        <is>
          <t>Status</t>
        </is>
      </c>
      <c r="B5" s="30" t="inlineStr">
        <is>
          <t>Anzahl</t>
        </is>
      </c>
      <c r="C5" s="30" t="inlineStr">
        <is>
          <t>Anteil</t>
        </is>
      </c>
    </row>
    <row r="6" ht="15" customHeight="1" s="23">
      <c r="A6" s="39" t="inlineStr">
        <is>
          <t>Offen</t>
        </is>
      </c>
      <c r="B6" s="40">
        <f>COUNTIF(Massnahmenplan!$F$5:$F$42,$A6)</f>
        <v/>
      </c>
      <c r="C6" s="41">
        <f>IFERROR($B6/$B$11,"")</f>
        <v/>
      </c>
    </row>
    <row r="7" ht="15" customHeight="1" s="23">
      <c r="A7" s="39" t="inlineStr">
        <is>
          <t>In Arbeit</t>
        </is>
      </c>
      <c r="B7" s="40">
        <f>COUNTIF(Massnahmenplan!$F$5:$F$42,$A7)</f>
        <v/>
      </c>
      <c r="C7" s="41">
        <f>IFERROR($B7/$B$11,"")</f>
        <v/>
      </c>
    </row>
    <row r="8" ht="15" customHeight="1" s="23">
      <c r="A8" s="39" t="inlineStr">
        <is>
          <t>Erledigt</t>
        </is>
      </c>
      <c r="B8" s="40">
        <f>COUNTIF(Massnahmenplan!$F$5:$F$42,$A8)</f>
        <v/>
      </c>
      <c r="C8" s="41">
        <f>IFERROR($B8/$B$11,"")</f>
        <v/>
      </c>
    </row>
    <row r="9" ht="15" customHeight="1" s="23">
      <c r="A9" s="39" t="inlineStr">
        <is>
          <t>Blockiert</t>
        </is>
      </c>
      <c r="B9" s="40">
        <f>COUNTIF(Massnahmenplan!$F$5:$F$42,$A9)</f>
        <v/>
      </c>
      <c r="C9" s="41">
        <f>IFERROR($B9/$B$11,"")</f>
        <v/>
      </c>
    </row>
    <row r="10" ht="15" customHeight="1" s="23">
      <c r="A10" s="39" t="inlineStr">
        <is>
          <t>Überfällig</t>
        </is>
      </c>
      <c r="B10" s="40">
        <f>COUNTIF(Massnahmenplan!$F$5:$F$42,$A10)</f>
        <v/>
      </c>
      <c r="C10" s="41">
        <f>IFERROR($B10/$B$11,"")</f>
        <v/>
      </c>
    </row>
    <row r="11" ht="15" customHeight="1" s="23">
      <c r="A11" s="42" t="inlineStr">
        <is>
          <t>Summe</t>
        </is>
      </c>
      <c r="B11" s="43">
        <f>SUM($B$6:$B$10)</f>
        <v/>
      </c>
    </row>
    <row r="13" ht="15" customHeight="1" s="23">
      <c r="A13" s="26" t="inlineStr">
        <is>
          <t>Je Teilprojekt</t>
        </is>
      </c>
    </row>
    <row r="14" ht="30" customHeight="1" s="23">
      <c r="A14" s="30" t="inlineStr">
        <is>
          <t>Teilprojekt</t>
        </is>
      </c>
      <c r="B14" s="30" t="inlineStr">
        <is>
          <t>Aufgaben</t>
        </is>
      </c>
      <c r="C14" s="30" t="inlineStr">
        <is>
          <t>davon erledigt</t>
        </is>
      </c>
      <c r="D14" s="30" t="inlineStr">
        <is>
          <t>davon ueberfaellig</t>
        </is>
      </c>
      <c r="E14" s="30" t="inlineStr">
        <is>
          <t>Fortschritt %</t>
        </is>
      </c>
      <c r="F14" s="30" t="inlineStr">
        <is>
          <t>Meilensteine</t>
        </is>
      </c>
      <c r="G14" s="30" t="inlineStr">
        <is>
          <t>davon verzoegert</t>
        </is>
      </c>
    </row>
    <row r="15" ht="15" customHeight="1" s="23">
      <c r="A15" s="39" t="inlineStr">
        <is>
          <t>WS1 Finanzen</t>
        </is>
      </c>
      <c r="B15" s="40">
        <f>COUNTIF(Massnahmenplan!$C$5:$C$42,$A15)</f>
        <v/>
      </c>
      <c r="C15" s="40">
        <f>COUNTIFS(Massnahmenplan!$C$5:$C$42,$A15,Massnahmenplan!$F$5:$F$42,"Erledigt")</f>
        <v/>
      </c>
      <c r="D15" s="40">
        <f>COUNTIFS(Massnahmenplan!$C$5:$C$42,$A15,Massnahmenplan!$F$5:$F$42,"Überfällig")</f>
        <v/>
      </c>
      <c r="E15" s="40">
        <f>IFERROR(ROUND(AVERAGEIF(Massnahmenplan!$C$5:$C$42,$A15,Massnahmenplan!$G$5:$G$42),0),"")</f>
        <v/>
      </c>
      <c r="F15" s="40">
        <f>COUNTIF(Meilensteine!$D$5:$D$22,$A15)</f>
        <v/>
      </c>
      <c r="G15" s="40">
        <f>COUNTIFS(Meilensteine!$D$5:$D$22,$A15,Meilensteine!$I$5:$I$22,"Verzögert")</f>
        <v/>
      </c>
    </row>
    <row r="16" ht="15" customHeight="1" s="23">
      <c r="A16" s="39" t="inlineStr">
        <is>
          <t>WS2 Steuern</t>
        </is>
      </c>
      <c r="B16" s="40">
        <f>COUNTIF(Massnahmenplan!$C$5:$C$42,$A16)</f>
        <v/>
      </c>
      <c r="C16" s="40">
        <f>COUNTIFS(Massnahmenplan!$C$5:$C$42,$A16,Massnahmenplan!$F$5:$F$42,"Erledigt")</f>
        <v/>
      </c>
      <c r="D16" s="40">
        <f>COUNTIFS(Massnahmenplan!$C$5:$C$42,$A16,Massnahmenplan!$F$5:$F$42,"Überfällig")</f>
        <v/>
      </c>
      <c r="E16" s="40">
        <f>IFERROR(ROUND(AVERAGEIF(Massnahmenplan!$C$5:$C$42,$A16,Massnahmenplan!$G$5:$G$42),0),"")</f>
        <v/>
      </c>
      <c r="F16" s="40">
        <f>COUNTIF(Meilensteine!$D$5:$D$22,$A16)</f>
        <v/>
      </c>
      <c r="G16" s="40">
        <f>COUNTIFS(Meilensteine!$D$5:$D$22,$A16,Meilensteine!$I$5:$I$22,"Verzögert")</f>
        <v/>
      </c>
    </row>
    <row r="17" ht="15" customHeight="1" s="23">
      <c r="A17" s="39" t="inlineStr">
        <is>
          <t>WS3 IT</t>
        </is>
      </c>
      <c r="B17" s="40">
        <f>COUNTIF(Massnahmenplan!$C$5:$C$42,$A17)</f>
        <v/>
      </c>
      <c r="C17" s="40">
        <f>COUNTIFS(Massnahmenplan!$C$5:$C$42,$A17,Massnahmenplan!$F$5:$F$42,"Erledigt")</f>
        <v/>
      </c>
      <c r="D17" s="40">
        <f>COUNTIFS(Massnahmenplan!$C$5:$C$42,$A17,Massnahmenplan!$F$5:$F$42,"Überfällig")</f>
        <v/>
      </c>
      <c r="E17" s="40">
        <f>IFERROR(ROUND(AVERAGEIF(Massnahmenplan!$C$5:$C$42,$A17,Massnahmenplan!$G$5:$G$42),0),"")</f>
        <v/>
      </c>
      <c r="F17" s="40">
        <f>COUNTIF(Meilensteine!$D$5:$D$22,$A17)</f>
        <v/>
      </c>
      <c r="G17" s="40">
        <f>COUNTIFS(Meilensteine!$D$5:$D$22,$A17,Meilensteine!$I$5:$I$22,"Verzögert")</f>
        <v/>
      </c>
    </row>
    <row r="18" ht="15" customHeight="1" s="23">
      <c r="A18" s="39" t="inlineStr">
        <is>
          <t>WS4 Personal</t>
        </is>
      </c>
      <c r="B18" s="40">
        <f>COUNTIF(Massnahmenplan!$C$5:$C$42,$A18)</f>
        <v/>
      </c>
      <c r="C18" s="40">
        <f>COUNTIFS(Massnahmenplan!$C$5:$C$42,$A18,Massnahmenplan!$F$5:$F$42,"Erledigt")</f>
        <v/>
      </c>
      <c r="D18" s="40">
        <f>COUNTIFS(Massnahmenplan!$C$5:$C$42,$A18,Massnahmenplan!$F$5:$F$42,"Überfällig")</f>
        <v/>
      </c>
      <c r="E18" s="40">
        <f>IFERROR(ROUND(AVERAGEIF(Massnahmenplan!$C$5:$C$42,$A18,Massnahmenplan!$G$5:$G$42),0),"")</f>
        <v/>
      </c>
      <c r="F18" s="40">
        <f>COUNTIF(Meilensteine!$D$5:$D$22,$A18)</f>
        <v/>
      </c>
      <c r="G18" s="40">
        <f>COUNTIFS(Meilensteine!$D$5:$D$22,$A18,Meilensteine!$I$5:$I$22,"Verzögert")</f>
        <v/>
      </c>
    </row>
    <row r="19" ht="15" customHeight="1" s="23">
      <c r="A19" s="39" t="inlineStr">
        <is>
          <t>WS5 Lieferkette</t>
        </is>
      </c>
      <c r="B19" s="40">
        <f>COUNTIF(Massnahmenplan!$C$5:$C$42,$A19)</f>
        <v/>
      </c>
      <c r="C19" s="40">
        <f>COUNTIFS(Massnahmenplan!$C$5:$C$42,$A19,Massnahmenplan!$F$5:$F$42,"Erledigt")</f>
        <v/>
      </c>
      <c r="D19" s="40">
        <f>COUNTIFS(Massnahmenplan!$C$5:$C$42,$A19,Massnahmenplan!$F$5:$F$42,"Überfällig")</f>
        <v/>
      </c>
      <c r="E19" s="40">
        <f>IFERROR(ROUND(AVERAGEIF(Massnahmenplan!$C$5:$C$42,$A19,Massnahmenplan!$G$5:$G$42),0),"")</f>
        <v/>
      </c>
      <c r="F19" s="40">
        <f>COUNTIF(Meilensteine!$D$5:$D$22,$A19)</f>
        <v/>
      </c>
      <c r="G19" s="40">
        <f>COUNTIFS(Meilensteine!$D$5:$D$22,$A19,Meilensteine!$I$5:$I$22,"Verzögert")</f>
        <v/>
      </c>
    </row>
    <row r="20" ht="15" customHeight="1" s="23">
      <c r="A20" s="39" t="inlineStr">
        <is>
          <t>WS6 Vertrieb und Marketing</t>
        </is>
      </c>
      <c r="B20" s="40">
        <f>COUNTIF(Massnahmenplan!$C$5:$C$42,$A20)</f>
        <v/>
      </c>
      <c r="C20" s="40">
        <f>COUNTIFS(Massnahmenplan!$C$5:$C$42,$A20,Massnahmenplan!$F$5:$F$42,"Erledigt")</f>
        <v/>
      </c>
      <c r="D20" s="40">
        <f>COUNTIFS(Massnahmenplan!$C$5:$C$42,$A20,Massnahmenplan!$F$5:$F$42,"Überfällig")</f>
        <v/>
      </c>
      <c r="E20" s="40">
        <f>IFERROR(ROUND(AVERAGEIF(Massnahmenplan!$C$5:$C$42,$A20,Massnahmenplan!$G$5:$G$42),0),"")</f>
        <v/>
      </c>
      <c r="F20" s="40">
        <f>COUNTIF(Meilensteine!$D$5:$D$22,$A20)</f>
        <v/>
      </c>
      <c r="G20" s="40">
        <f>COUNTIFS(Meilensteine!$D$5:$D$22,$A20,Meilensteine!$I$5:$I$22,"Verzögert")</f>
        <v/>
      </c>
    </row>
    <row r="21" ht="15" customHeight="1" s="23">
      <c r="A21" s="39" t="inlineStr">
        <is>
          <t>WS7 Immobilien</t>
        </is>
      </c>
      <c r="B21" s="40">
        <f>COUNTIF(Massnahmenplan!$C$5:$C$42,$A21)</f>
        <v/>
      </c>
      <c r="C21" s="40">
        <f>COUNTIFS(Massnahmenplan!$C$5:$C$42,$A21,Massnahmenplan!$F$5:$F$42,"Erledigt")</f>
        <v/>
      </c>
      <c r="D21" s="40">
        <f>COUNTIFS(Massnahmenplan!$C$5:$C$42,$A21,Massnahmenplan!$F$5:$F$42,"Überfällig")</f>
        <v/>
      </c>
      <c r="E21" s="40">
        <f>IFERROR(ROUND(AVERAGEIF(Massnahmenplan!$C$5:$C$42,$A21,Massnahmenplan!$G$5:$G$42),0),"")</f>
        <v/>
      </c>
      <c r="F21" s="40">
        <f>COUNTIF(Meilensteine!$D$5:$D$22,$A21)</f>
        <v/>
      </c>
      <c r="G21" s="40">
        <f>COUNTIFS(Meilensteine!$D$5:$D$22,$A21,Meilensteine!$I$5:$I$22,"Verzögert")</f>
        <v/>
      </c>
    </row>
    <row r="23" ht="15" customHeight="1" s="23">
      <c r="A23" s="26" t="inlineStr">
        <is>
          <t>Meilensteine gesamt</t>
        </is>
      </c>
    </row>
    <row r="24" ht="15" customHeight="1" s="23">
      <c r="A24" s="39" t="inlineStr">
        <is>
          <t>Meilensteine gesamt</t>
        </is>
      </c>
      <c r="B24" s="40">
        <f>COUNTA(Meilensteine!$B$5:$B$22)</f>
        <v/>
      </c>
    </row>
    <row r="25" ht="15" customHeight="1" s="23">
      <c r="A25" s="39" t="inlineStr">
        <is>
          <t>davon gate-relevant</t>
        </is>
      </c>
      <c r="B25" s="40">
        <f>COUNTIF(Meilensteine!$J$5:$J$22,"Ja")</f>
        <v/>
      </c>
    </row>
    <row r="26" ht="15" customHeight="1" s="23">
      <c r="A26" s="39" t="inlineStr">
        <is>
          <t>davon verzoegert</t>
        </is>
      </c>
      <c r="B26" s="40">
        <f>COUNTIF(Meilensteine!$I$5:$I$22,"Verzögert")</f>
        <v/>
      </c>
    </row>
    <row r="27" ht="15" customHeight="1" s="23">
      <c r="A27" s="39" t="inlineStr">
        <is>
          <t>groesste Abweichung in Tagen</t>
        </is>
      </c>
      <c r="B27" s="40">
        <f>MAX(Meilensteine!$H$5:$H$22)</f>
        <v/>
      </c>
    </row>
    <row r="28" ht="15" customHeight="1" s="23">
      <c r="A28" s="39" t="inlineStr">
        <is>
          <t>Tage bis Day 100</t>
        </is>
      </c>
      <c r="B28" s="40">
        <f>DATE(2016,12,16)-DATE(2016,9,29)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2026-07-30T14:55:32Z</dcterms:created>
  <dcterms:modified xmlns:dcterms="http://purl.org/dc/terms/" xmlns:xsi="http://www.w3.org/2001/XMLSchema-instance" xsi:type="dcterms:W3CDTF">2026-07-30T15:57:10Z</dcterms:modified>
  <cp:revision>0</cp:revision>
</cp:coreProperties>
</file>