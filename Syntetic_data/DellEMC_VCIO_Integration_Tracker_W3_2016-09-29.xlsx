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e" sheetId="1" state="visible" r:id="rId3"/>
    <sheet name="Massnahmenplan" sheetId="2" state="visible" r:id="rId4"/>
    <sheet name="Meilensteine" sheetId="3" state="visible" r:id="rId5"/>
    <sheet name="Beschlussregister" sheetId="4" state="visible" r:id="rId6"/>
    <sheet name="Massnahmenverfolgung" sheetId="5" state="visible" r:id="rId7"/>
    <sheet name="Abhaengigkeiten" sheetId="6" state="visible" r:id="rId8"/>
    <sheet name="Auswertu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<sst xmlns="http://schemas.openxmlformats.org/spreadsheetml/2006/main" count="714" uniqueCount="376">
  <si>
    <t xml:space="preserve">Dell Technologies Integration - Value Creation Integration Office (VCIO)</t>
  </si>
  <si>
    <t xml:space="preserve">Dell Inc. and EMC Corporation  |  Reporting week W3 (26 - 30 September 2016)  |  Day 22 after Day 1  |  Close 7 September 2016</t>
  </si>
  <si>
    <t xml:space="preserve">How to use this workbook</t>
  </si>
  <si>
    <t xml:space="preserve">1. Register Massnahmenplan: je Zeile eine Aufgabe. Fuehrende Quelle fuer Aufgaben und Termine nach Beschluss B-02.</t>
  </si>
  <si>
    <t xml:space="preserve">2. Register Meilensteine: Basistermin bleibt nach Freigabe unveraendert. Verschiebungen laufen ueber den Prognosetermin, die Abweichung rechnet sich.</t>
  </si>
  <si>
    <t xml:space="preserve">3. Register Beschlussregister und Massnahmenverfolgung: Beschluesse und offene Punkte aus VCIO Weekly und Steering Committee.</t>
  </si>
  <si>
    <t xml:space="preserve">4. Register Abhaengigkeiten: jede Uebergabe zwischen Teilprojekten muss nach Beschluss B-03 von beiden Leitungen bestaetigt sein.</t>
  </si>
  <si>
    <t xml:space="preserve">5. Register Auswertung rechnet automatisch. Formeln bitte nicht ueberschreiben.</t>
  </si>
  <si>
    <t xml:space="preserve">Conventions and assumptions</t>
  </si>
  <si>
    <t xml:space="preserve">Berichtswoche W3 (26 - 30 September 2016), Tag 22 nach Day 1 (07.09.2016). Day 100 ist der 16.12.2016.</t>
  </si>
  <si>
    <t xml:space="preserve">Datumsformat durchgaengig TT.MM.JJJJ. Fortschritt in Prozent als ganze Zahl.</t>
  </si>
  <si>
    <t xml:space="preserve">Sieben Teilprojekte berichten an das Steering Committee. Das Programm fuehrt insgesamt more than 20 Teilprojekte.</t>
  </si>
  <si>
    <t xml:space="preserve">Bei Abweichungen zwischen dieser Datei und einer Statusfolie gilt diese Datei.</t>
  </si>
  <si>
    <t xml:space="preserve">Sources for the case anchoring</t>
  </si>
  <si>
    <t xml:space="preserve">EMC Corp, Form 8-K Exhibit 99.1, filed 7 September 2016 (SEC EDGAR)</t>
  </si>
  <si>
    <t xml:space="preserve">Deloitte Global, 'Dell, EMC, and Deloitte create the next tech icon: a technology M&amp;A case study', deloitte.com</t>
  </si>
  <si>
    <t xml:space="preserve">Dell Technologies press release, 7 September 2016</t>
  </si>
  <si>
    <t xml:space="preserve">Synthetic workbook. All operational names, figures, risks and synergy values are invented and internally consistent; they are not a representation of what any party actually did.</t>
  </si>
  <si>
    <t xml:space="preserve">Massnahmenplan (Master Task List)</t>
  </si>
  <si>
    <t xml:space="preserve">Stand 29.09.2016  |  38 Aufgaben  |  Verantwortlich: Value Creation Integration Office (VCIO)</t>
  </si>
  <si>
    <t xml:space="preserve">ID</t>
  </si>
  <si>
    <t xml:space="preserve">Aufgabe</t>
  </si>
  <si>
    <t xml:space="preserve">Teilprojekt</t>
  </si>
  <si>
    <t xml:space="preserve">Verantwortlich</t>
  </si>
  <si>
    <t xml:space="preserve">Faellig am</t>
  </si>
  <si>
    <t xml:space="preserve">Status</t>
  </si>
  <si>
    <t xml:space="preserve">Fortschritt %</t>
  </si>
  <si>
    <t xml:space="preserve">Prioritaet</t>
  </si>
  <si>
    <t xml:space="preserve">Abhaengig von</t>
  </si>
  <si>
    <t xml:space="preserve">Kommentar</t>
  </si>
  <si>
    <t xml:space="preserve">A-001</t>
  </si>
  <si>
    <t xml:space="preserve">Kontenplan des Zielunternehmens auf den Konzernkontenplan abbilden</t>
  </si>
  <si>
    <t xml:space="preserve">WS1 Finanzen</t>
  </si>
  <si>
    <t xml:space="preserve">R. Whitfield</t>
  </si>
  <si>
    <t xml:space="preserve">In Arbeit</t>
  </si>
  <si>
    <t xml:space="preserve">Hoch</t>
  </si>
  <si>
    <t xml:space="preserve">Map EMC chart of accounts to the Dell group chart</t>
  </si>
  <si>
    <t xml:space="preserve">A-002</t>
  </si>
  <si>
    <t xml:space="preserve">Abschlusskalender beider Gruppen angleichen</t>
  </si>
  <si>
    <t xml:space="preserve">Align statutory close calendar across both groups</t>
  </si>
  <si>
    <t xml:space="preserve">A-003</t>
  </si>
  <si>
    <t xml:space="preserve">Konsolidierungskreis fuer das erste kombinierte Quartal festlegen</t>
  </si>
  <si>
    <t xml:space="preserve">U. Hoffmeister</t>
  </si>
  <si>
    <t xml:space="preserve">Offen</t>
  </si>
  <si>
    <t xml:space="preserve">A-012</t>
  </si>
  <si>
    <t xml:space="preserve">Define consolidation scope for the first combined quarter</t>
  </si>
  <si>
    <t xml:space="preserve">A-004</t>
  </si>
  <si>
    <t xml:space="preserve">Datenpaket zur Kaufpreisallokation erstellen</t>
  </si>
  <si>
    <t xml:space="preserve">Erledigt</t>
  </si>
  <si>
    <t xml:space="preserve">Produce purchase price allocation input pack</t>
  </si>
  <si>
    <t xml:space="preserve">A-005</t>
  </si>
  <si>
    <t xml:space="preserve">Konzerninterne Salden zum Stichtag abstimmen</t>
  </si>
  <si>
    <t xml:space="preserve">Mittel</t>
  </si>
  <si>
    <t xml:space="preserve">Reconcile intercompany balances at close date</t>
  </si>
  <si>
    <t xml:space="preserve">A-006</t>
  </si>
  <si>
    <t xml:space="preserve">Zielmodell fuer Treasury und Cash Pooling entwerfen</t>
  </si>
  <si>
    <t xml:space="preserve">Draft treasury and cash pooling target model</t>
  </si>
  <si>
    <t xml:space="preserve">A-011</t>
  </si>
  <si>
    <t xml:space="preserve">Steuerliche Pruefung der EMEA-Gesellschaftskette abschliessen</t>
  </si>
  <si>
    <t xml:space="preserve">WS2 Steuern</t>
  </si>
  <si>
    <t xml:space="preserve">N. Devereux</t>
  </si>
  <si>
    <t xml:space="preserve">Überfällig</t>
  </si>
  <si>
    <t xml:space="preserve">Complete tax review of the EMEA entity chain</t>
  </si>
  <si>
    <t xml:space="preserve">Plan zur gesellschaftsrechtlichen Straffung zur Freigabe vorlegen</t>
  </si>
  <si>
    <t xml:space="preserve">Blockiert</t>
  </si>
  <si>
    <t xml:space="preserve">Issue the legal entity rationalisation plan for approval</t>
  </si>
  <si>
    <t xml:space="preserve">A-013</t>
  </si>
  <si>
    <t xml:space="preserve">Gliederung der Verrechnungspreisdokumentation entwerfen</t>
  </si>
  <si>
    <t xml:space="preserve">Draft transfer pricing documentation outline</t>
  </si>
  <si>
    <t xml:space="preserve">A-014</t>
  </si>
  <si>
    <t xml:space="preserve">Betriebsstaettenrisiko in zwoelf Jurisdiktionen bewerten</t>
  </si>
  <si>
    <t xml:space="preserve">Assess permanent establishment exposure in 12 jurisdictions</t>
  </si>
  <si>
    <t xml:space="preserve">A-021</t>
  </si>
  <si>
    <t xml:space="preserve">Anwendungslandschaft beider Unternehmen vollstaendig erfassen</t>
  </si>
  <si>
    <t xml:space="preserve">WS3 IT</t>
  </si>
  <si>
    <t xml:space="preserve">T. Bergström</t>
  </si>
  <si>
    <t xml:space="preserve">Complete application landscape inventory for both estates</t>
  </si>
  <si>
    <t xml:space="preserve">A-022</t>
  </si>
  <si>
    <t xml:space="preserve">Zielsystem und Migrationspfad fuer das ERP festlegen</t>
  </si>
  <si>
    <t xml:space="preserve">Agree the ERP target system and migration path</t>
  </si>
  <si>
    <t xml:space="preserve">A-023</t>
  </si>
  <si>
    <t xml:space="preserve">Materialstammdaten mit korrigiertem Feldmapping erneut extrahieren</t>
  </si>
  <si>
    <t xml:space="preserve">G. Aydin</t>
  </si>
  <si>
    <t xml:space="preserve">Re-extract material master with corrected field mapping</t>
  </si>
  <si>
    <t xml:space="preserve">A-024</t>
  </si>
  <si>
    <t xml:space="preserve">Pilotgruppe auf die foederierte Anmeldung migrieren</t>
  </si>
  <si>
    <t xml:space="preserve">Migrate pilot population to federated single sign-on</t>
  </si>
  <si>
    <t xml:space="preserve">A-025</t>
  </si>
  <si>
    <t xml:space="preserve">Netzkopplung zwischen beiden Backbones herstellen</t>
  </si>
  <si>
    <t xml:space="preserve">Complete network interconnect between the two backbones</t>
  </si>
  <si>
    <t xml:space="preserve">A-026</t>
  </si>
  <si>
    <t xml:space="preserve">Service-Desk-Werkzeuge auf einer Plattform zusammenfuehren</t>
  </si>
  <si>
    <t xml:space="preserve">Niedrig</t>
  </si>
  <si>
    <t xml:space="preserve">Consolidate service desk tooling onto one platform</t>
  </si>
  <si>
    <t xml:space="preserve">A-031</t>
  </si>
  <si>
    <t xml:space="preserve">Kombinierte Organisationsstruktur bis Ebene 3 veroeffentlichen</t>
  </si>
  <si>
    <t xml:space="preserve">WS4 Personal</t>
  </si>
  <si>
    <t xml:space="preserve">J. Adeyemi</t>
  </si>
  <si>
    <t xml:space="preserve">A-033</t>
  </si>
  <si>
    <t xml:space="preserve">Publish combined organisation structure to level 3</t>
  </si>
  <si>
    <t xml:space="preserve">A-032</t>
  </si>
  <si>
    <t xml:space="preserve">Verguetungsmodell im Vertrieb harmonisieren</t>
  </si>
  <si>
    <t xml:space="preserve">Harmonise sales compensation plan design</t>
  </si>
  <si>
    <t xml:space="preserve">Anhoerung des Betriebsrats in Deutschland abschliessen</t>
  </si>
  <si>
    <t xml:space="preserve">W. Kempowski</t>
  </si>
  <si>
    <t xml:space="preserve">Conclude works council consultation in Germany</t>
  </si>
  <si>
    <t xml:space="preserve">A-034</t>
  </si>
  <si>
    <t xml:space="preserve">Halteprogramme fuer benannte Schluesselrollen bestaetigen</t>
  </si>
  <si>
    <t xml:space="preserve">Confirm retention packages for named critical roles</t>
  </si>
  <si>
    <t xml:space="preserve">A-035</t>
  </si>
  <si>
    <t xml:space="preserve">Nutzung des Willkommens-eGuide bis Day 30 nachverfolgen</t>
  </si>
  <si>
    <t xml:space="preserve">E. Brannigan</t>
  </si>
  <si>
    <t xml:space="preserve">Track welcome eGuide adoption to Day 30</t>
  </si>
  <si>
    <t xml:space="preserve">A-036</t>
  </si>
  <si>
    <t xml:space="preserve">Stellenarchitektur und Eingruppierung beider Gruppen angleichen</t>
  </si>
  <si>
    <t xml:space="preserve">Align job architecture and grading across both groups</t>
  </si>
  <si>
    <t xml:space="preserve">A-041</t>
  </si>
  <si>
    <t xml:space="preserve">Lieferantenstammdaten der 200 groessten Lieferanten bereinigen</t>
  </si>
  <si>
    <t xml:space="preserve">WS5 Lieferkette</t>
  </si>
  <si>
    <t xml:space="preserve">K. Matsuda</t>
  </si>
  <si>
    <t xml:space="preserve">Cleanse supplier master for the top 200 vendors</t>
  </si>
  <si>
    <t xml:space="preserve">A-042</t>
  </si>
  <si>
    <t xml:space="preserve">Beschaffungswuerfel fuer die Kategorien der Welle 1 aufbauen</t>
  </si>
  <si>
    <t xml:space="preserve">Build the combined spend cube for wave 1 categories</t>
  </si>
  <si>
    <t xml:space="preserve">A-043</t>
  </si>
  <si>
    <t xml:space="preserve">Nachverhandlung mit den zwoelf groessten Logistikdienstleistern eroeffnen</t>
  </si>
  <si>
    <t xml:space="preserve">Open renegotiation with the top 12 logistics providers</t>
  </si>
  <si>
    <t xml:space="preserve">A-044</t>
  </si>
  <si>
    <t xml:space="preserve">Ueberschneidungen im Lagernetz in EMEA und APJ erfassen</t>
  </si>
  <si>
    <t xml:space="preserve">Map warehouse footprint overlap in EMEA and APJ</t>
  </si>
  <si>
    <t xml:space="preserve">A-051</t>
  </si>
  <si>
    <t xml:space="preserve">Produktportfolio-Konkordanz veroeffentlichen</t>
  </si>
  <si>
    <t xml:space="preserve">WS6 Vertrieb und Marketing</t>
  </si>
  <si>
    <t xml:space="preserve">L. Kowalczyk</t>
  </si>
  <si>
    <t xml:space="preserve">Publish combined product portfolio cross-reference</t>
  </si>
  <si>
    <t xml:space="preserve">A-052</t>
  </si>
  <si>
    <t xml:space="preserve">Gebiets- und Quotenmodell fuer die kombinierte Vertriebsorganisation angleichen</t>
  </si>
  <si>
    <t xml:space="preserve">Align territory and quota model for the merged field</t>
  </si>
  <si>
    <t xml:space="preserve">A-053</t>
  </si>
  <si>
    <t xml:space="preserve">Kundenbotschaft fuer die Dell EMC World vorbereiten</t>
  </si>
  <si>
    <t xml:space="preserve">Prepare the Dell EMC World customer narrative</t>
  </si>
  <si>
    <t xml:space="preserve">A-054</t>
  </si>
  <si>
    <t xml:space="preserve">Konditionen der Partnerprogramme zusammenfuehren</t>
  </si>
  <si>
    <t xml:space="preserve">Consolidate partner programme terms</t>
  </si>
  <si>
    <t xml:space="preserve">A-055</t>
  </si>
  <si>
    <t xml:space="preserve">Ausgangswert des Kunden-NPS erheben</t>
  </si>
  <si>
    <t xml:space="preserve">S. Lindqvist</t>
  </si>
  <si>
    <t xml:space="preserve">Measure customer net promoter score baseline</t>
  </si>
  <si>
    <t xml:space="preserve">A-061</t>
  </si>
  <si>
    <t xml:space="preserve">Mietvertragsanalyse fuer 52 EMEA-Standorte abschliessen</t>
  </si>
  <si>
    <t xml:space="preserve">WS7 Immobilien</t>
  </si>
  <si>
    <t xml:space="preserve">F. Ricciardi</t>
  </si>
  <si>
    <t xml:space="preserve">Complete lease expiry analysis for 52 EMEA sites</t>
  </si>
  <si>
    <t xml:space="preserve">A-062</t>
  </si>
  <si>
    <t xml:space="preserve">Zusammenlegung der DACH-Hauptstandorte pruefen</t>
  </si>
  <si>
    <t xml:space="preserve">H. Wegener</t>
  </si>
  <si>
    <t xml:space="preserve">Assess co-location options for the DACH head offices</t>
  </si>
  <si>
    <t xml:space="preserve">A-063</t>
  </si>
  <si>
    <t xml:space="preserve">Beschilderung und Rebranding fuer Standorte der Stufe 1 terminieren</t>
  </si>
  <si>
    <t xml:space="preserve">Confirm signage and rebranding schedule for tier 1 sites</t>
  </si>
  <si>
    <t xml:space="preserve">A-071</t>
  </si>
  <si>
    <t xml:space="preserve">Bewertung im Wertpriorisierungsrahmen veroeffentlichen</t>
  </si>
  <si>
    <t xml:space="preserve">M. Haddad</t>
  </si>
  <si>
    <t xml:space="preserve">Publish the value prioritisation framework scoring</t>
  </si>
  <si>
    <t xml:space="preserve">A-072</t>
  </si>
  <si>
    <t xml:space="preserve">Synergieinitiativen der Welle 1 mit Finance validieren</t>
  </si>
  <si>
    <t xml:space="preserve">Validate synergy wave 1 initiatives with Finance</t>
  </si>
  <si>
    <t xml:space="preserve">A-073</t>
  </si>
  <si>
    <t xml:space="preserve">Abhaengigkeitskarte zwischen den Teilprojekten aktualisieren</t>
  </si>
  <si>
    <t xml:space="preserve">D. Okonjo</t>
  </si>
  <si>
    <t xml:space="preserve">Refresh the cross-workstream dependency map</t>
  </si>
  <si>
    <t xml:space="preserve">A-074</t>
  </si>
  <si>
    <t xml:space="preserve">Offene Punkte aus der ersten SteerCo-Sitzung abschliessen</t>
  </si>
  <si>
    <t xml:space="preserve">Close out open actions from SteerCo session 01</t>
  </si>
  <si>
    <t xml:space="preserve">Meilensteinplan (Milestone Plan)</t>
  </si>
  <si>
    <t xml:space="preserve">Day 1 07.09.2016  |  Day 30 07.10.2016  |  Day 100 16.12.2016  |  13 von 18 gate-relevant</t>
  </si>
  <si>
    <t xml:space="preserve">Meilenstein</t>
  </si>
  <si>
    <t xml:space="preserve">Phase</t>
  </si>
  <si>
    <t xml:space="preserve">Basistermin</t>
  </si>
  <si>
    <t xml:space="preserve">Prognosetermin</t>
  </si>
  <si>
    <t xml:space="preserve">Abweichung (Tage)</t>
  </si>
  <si>
    <t xml:space="preserve">Gate-relevant</t>
  </si>
  <si>
    <t xml:space="preserve">M-01</t>
  </si>
  <si>
    <t xml:space="preserve">Day 1 Vollzug und Markenauftritt umgesetzt</t>
  </si>
  <si>
    <t xml:space="preserve">Day 1</t>
  </si>
  <si>
    <t xml:space="preserve">Ja</t>
  </si>
  <si>
    <t xml:space="preserve">Closed on schedule. New Dell Technologies and Dell EMC branding launched the same day.</t>
  </si>
  <si>
    <t xml:space="preserve">M-02</t>
  </si>
  <si>
    <t xml:space="preserve">Willkommens-eGuide zu Day 1 fuer alle 140.000 Mitarbeitenden verfuegbar</t>
  </si>
  <si>
    <t xml:space="preserve">Digital tool delivered with advisory support. Adoption tracking continues to Day 30.</t>
  </si>
  <si>
    <t xml:space="preserve">M-03</t>
  </si>
  <si>
    <t xml:space="preserve">Vertriebs-Runbook fuer ueber 40.000 Vertriebsmitarbeitende verfuegbar</t>
  </si>
  <si>
    <t xml:space="preserve">Cross-sell guidance for the combined portfolio available at close.</t>
  </si>
  <si>
    <t xml:space="preserve">M-04</t>
  </si>
  <si>
    <t xml:space="preserve">Kombinierte Eroeffnungsbilanz erstellt</t>
  </si>
  <si>
    <t xml:space="preserve">Day 1 to Day 30</t>
  </si>
  <si>
    <t xml:space="preserve">Im Plan</t>
  </si>
  <si>
    <t xml:space="preserve">Purchase price allocation input from valuation advisor received on schedule.</t>
  </si>
  <si>
    <t xml:space="preserve">M-05</t>
  </si>
  <si>
    <t xml:space="preserve">Plan zur Gesellschaftsrechtlichen Straffung freigegeben</t>
  </si>
  <si>
    <t xml:space="preserve">Verzögert</t>
  </si>
  <si>
    <t xml:space="preserve">Slipped one week. Tax review of the EMEA entity chain is not complete.</t>
  </si>
  <si>
    <t xml:space="preserve">M-06</t>
  </si>
  <si>
    <t xml:space="preserve">Vorlaeufiges Konzernberichtspaket erstellt</t>
  </si>
  <si>
    <t xml:space="preserve">Nein</t>
  </si>
  <si>
    <t xml:space="preserve">First combined management pack for the sponsor.</t>
  </si>
  <si>
    <t xml:space="preserve">M-07</t>
  </si>
  <si>
    <t xml:space="preserve">Zielbild ERP-Konsolidierung freigegeben</t>
  </si>
  <si>
    <t xml:space="preserve">Two weeks late. Legacy ERP upgrade at the target ran into the integration design. See escalation thread and expert session record.</t>
  </si>
  <si>
    <t xml:space="preserve">M-08</t>
  </si>
  <si>
    <t xml:space="preserve">Einheitliche Anmeldung und Verzeichnisfoederation aktiv</t>
  </si>
  <si>
    <t xml:space="preserve">Pilot population migrated, full cutover on plan.</t>
  </si>
  <si>
    <t xml:space="preserve">M-09</t>
  </si>
  <si>
    <t xml:space="preserve">Harmonisiertes Verguetungsmodell Vertrieb kommuniziert</t>
  </si>
  <si>
    <t xml:space="preserve">Gefährdet</t>
  </si>
  <si>
    <t xml:space="preserve">Depends on works council consultation in DACH concluding first.</t>
  </si>
  <si>
    <t xml:space="preserve">M-10</t>
  </si>
  <si>
    <t xml:space="preserve">Lieferantenstammdaten fuer die 200 groessten Lieferanten konsolidiert</t>
  </si>
  <si>
    <t xml:space="preserve">Data cleanse complete for 168 of 200 vendors.</t>
  </si>
  <si>
    <t xml:space="preserve">M-11</t>
  </si>
  <si>
    <t xml:space="preserve">Kombiniertes Portfolio auf der Dell EMC World praesentiert</t>
  </si>
  <si>
    <t xml:space="preserve">Day 30 to Day 100</t>
  </si>
  <si>
    <t xml:space="preserve">Fixed external date, 18 to 20 October, Austin. Cannot move.</t>
  </si>
  <si>
    <t xml:space="preserve">M-12</t>
  </si>
  <si>
    <t xml:space="preserve">Kundenbetreuungsmodell fuer die kombinierte Vertriebsorganisation in Kraft</t>
  </si>
  <si>
    <t xml:space="preserve">Territory and quota alignment for the merged field organisation.</t>
  </si>
  <si>
    <t xml:space="preserve">M-13</t>
  </si>
  <si>
    <t xml:space="preserve">Anhoerung der Betriebsraete DACH abgeschlossen</t>
  </si>
  <si>
    <t xml:space="preserve">B. Steinmüller</t>
  </si>
  <si>
    <t xml:space="preserve">Two weeks late. Consultation under German co-determination law is a hard legal gate.</t>
  </si>
  <si>
    <t xml:space="preserve">M-14</t>
  </si>
  <si>
    <t xml:space="preserve">Standortkonzept EMEA freigegeben</t>
  </si>
  <si>
    <t xml:space="preserve">Lease expiry analysis complete for 41 of 52 EMEA sites.</t>
  </si>
  <si>
    <t xml:space="preserve">M-15</t>
  </si>
  <si>
    <t xml:space="preserve">Verrechnungspreismodell fuer den kombinierten Konzern abgestimmt</t>
  </si>
  <si>
    <t xml:space="preserve">Documentation drafting begins once the entity plan is approved.</t>
  </si>
  <si>
    <t xml:space="preserve">M-16</t>
  </si>
  <si>
    <t xml:space="preserve">Beschaffungssynergien Welle 1 nachverhandelt</t>
  </si>
  <si>
    <t xml:space="preserve">Covers logistics, components and indirect categories.</t>
  </si>
  <si>
    <t xml:space="preserve">M-17</t>
  </si>
  <si>
    <t xml:space="preserve">Wertrealisierungsbericht Day 100 an den Sponsor uebergeben</t>
  </si>
  <si>
    <t xml:space="preserve">Fixed commitment. Cannot move without sponsor approval.</t>
  </si>
  <si>
    <t xml:space="preserve">M-18</t>
  </si>
  <si>
    <t xml:space="preserve">Integrationsorganisation in den Regelbetrieb ueberfuehrt</t>
  </si>
  <si>
    <t xml:space="preserve">Post Day 100</t>
  </si>
  <si>
    <t xml:space="preserve">Handover of open items to functional owners.</t>
  </si>
  <si>
    <t xml:space="preserve">Beschlussregister (Decision Log)</t>
  </si>
  <si>
    <t xml:space="preserve">Beschluesse aus VCIO Weekly und Steering Committee, Stand 29.09.2016</t>
  </si>
  <si>
    <t xml:space="preserve">Beschluss</t>
  </si>
  <si>
    <t xml:space="preserve">Begruendung</t>
  </si>
  <si>
    <t xml:space="preserve">Gremium</t>
  </si>
  <si>
    <t xml:space="preserve">Datum</t>
  </si>
  <si>
    <t xml:space="preserve">Betroffene Teilprojekte</t>
  </si>
  <si>
    <t xml:space="preserve">Umsetzung durch</t>
  </si>
  <si>
    <t xml:space="preserve">Umsetzungsstand</t>
  </si>
  <si>
    <t xml:space="preserve">B-01</t>
  </si>
  <si>
    <t xml:space="preserve">Den Wertpriorisierungsrahmen als alleinige Grundlage fuer die Reihenfolge der Integrationsarbeit einfuehren</t>
  </si>
  <si>
    <t xml:space="preserve">Focus the office on the fifth of the opportunities that carries most of the accretive value, seen through a customer-first lens</t>
  </si>
  <si>
    <t xml:space="preserve">Steering Committee</t>
  </si>
  <si>
    <t xml:space="preserve">all</t>
  </si>
  <si>
    <t xml:space="preserve">A. Vasquez</t>
  </si>
  <si>
    <t xml:space="preserve">Implemented</t>
  </si>
  <si>
    <t xml:space="preserve">B-02</t>
  </si>
  <si>
    <t xml:space="preserve">Den Integration Tracker als alleinige Quelle fuer Aufgaben, Meilensteine und Termine verbindlich setzen</t>
  </si>
  <si>
    <t xml:space="preserve">Six reporting formats were reaching the office and reconciliation was consuming the analyst capacity intended for analysis</t>
  </si>
  <si>
    <t xml:space="preserve">In progress</t>
  </si>
  <si>
    <t xml:space="preserve">B-03</t>
  </si>
  <si>
    <t xml:space="preserve">Jeden Uebergabetermin zwischen Teilprojekten von beiden Teilprojektleitungen im Abhaengigkeitsregister bestaetigen lassen</t>
  </si>
  <si>
    <t xml:space="preserve">Teams understand their own responsibilities but not how their activities land on others; unconfirmed handovers were the largest single source of slippage</t>
  </si>
  <si>
    <t xml:space="preserve">B-04</t>
  </si>
  <si>
    <t xml:space="preserve">Den Umfang der laufenden ERP-Modernisierung beim Zielunternehmen einfrieren, bis das Zielbild der Konsolidierung freigegeben ist</t>
  </si>
  <si>
    <t xml:space="preserve">The upgrade and the integration design were competing for the same architecture decisions and the same people</t>
  </si>
  <si>
    <t xml:space="preserve">VCIO</t>
  </si>
  <si>
    <t xml:space="preserve">WS3, WS1, WS5</t>
  </si>
  <si>
    <t xml:space="preserve">B-05</t>
  </si>
  <si>
    <t xml:space="preserve">Mitbestimmte Einheiten aus der ersten Organisationsankuendigung ausnehmen</t>
  </si>
  <si>
    <t xml:space="preserve">German consultation is a legal gate, not a communication preference; announcing before it concludes would create a compliance exposure</t>
  </si>
  <si>
    <t xml:space="preserve">WS4</t>
  </si>
  <si>
    <t xml:space="preserve">Open</t>
  </si>
  <si>
    <t xml:space="preserve">B-06</t>
  </si>
  <si>
    <t xml:space="preserve">Nur von Finance validierte Initiativen als gesicherte Synergie ausweisen</t>
  </si>
  <si>
    <t xml:space="preserve">Reported secured value was running ahead of what the baseline could support</t>
  </si>
  <si>
    <t xml:space="preserve">B-07</t>
  </si>
  <si>
    <t xml:space="preserve">Den Termin des Wertrealisierungsberichts zu Day 100 halten und stattdessen den Umfang neu takten</t>
  </si>
  <si>
    <t xml:space="preserve">The date is a sponsor commitment; scope is the variable that can move</t>
  </si>
  <si>
    <t xml:space="preserve">B-08</t>
  </si>
  <si>
    <t xml:space="preserve">Bis zum Inkrafttreten des Betreuungsmodells woechentlich eine vorlaeufige Kundenzuordnung veroeffentlichen</t>
  </si>
  <si>
    <t xml:space="preserve">Two field organisations were calling on the same accounts</t>
  </si>
  <si>
    <t xml:space="preserve">WS6</t>
  </si>
  <si>
    <t xml:space="preserve">Massnahmenverfolgung (Action Item Log)</t>
  </si>
  <si>
    <t xml:space="preserve">Offene Punkte aus Sitzungen, Stand 29.09.2016  |  2 von 12 geschlossen, 2 verschoben</t>
  </si>
  <si>
    <t xml:space="preserve">Nr.</t>
  </si>
  <si>
    <t xml:space="preserve">Offener Punkt</t>
  </si>
  <si>
    <t xml:space="preserve">Quelle</t>
  </si>
  <si>
    <t xml:space="preserve">Urspruenglich faellig</t>
  </si>
  <si>
    <t xml:space="preserve">Neuer Termin</t>
  </si>
  <si>
    <t xml:space="preserve">Verschiebungen</t>
  </si>
  <si>
    <t xml:space="preserve">OP-01</t>
  </si>
  <si>
    <t xml:space="preserve">Die aktualisierte Abhaengigkeitskarte an alle Teilprojektleitungen versenden</t>
  </si>
  <si>
    <t xml:space="preserve">SteerCo session 01, 15 September 2016</t>
  </si>
  <si>
    <t xml:space="preserve">WS3</t>
  </si>
  <si>
    <t xml:space="preserve">OP-02</t>
  </si>
  <si>
    <t xml:space="preserve">Wiederanlaufplan fuer das ERP-Zielbild mit datierter Prognose vorlegen</t>
  </si>
  <si>
    <t xml:space="preserve">OP-03</t>
  </si>
  <si>
    <t xml:space="preserve">Den Zeitplan der Betriebsratsanhoerung schriftlich bestaetigen</t>
  </si>
  <si>
    <t xml:space="preserve">OP-04</t>
  </si>
  <si>
    <t xml:space="preserve">Die berichtete gesicherte Synergie auf den von Finance validierten Wert abstimmen</t>
  </si>
  <si>
    <t xml:space="preserve">WS1</t>
  </si>
  <si>
    <t xml:space="preserve">OP-05</t>
  </si>
  <si>
    <t xml:space="preserve">Die steuerliche Pruefung der EMEA-Gesellschaftskette eskalieren und einen Abschlusstermin benennen</t>
  </si>
  <si>
    <t xml:space="preserve">IMO weekly, 27 September 2016</t>
  </si>
  <si>
    <t xml:space="preserve">WS2</t>
  </si>
  <si>
    <t xml:space="preserve">OP-06</t>
  </si>
  <si>
    <t xml:space="preserve">Vor jeder Migrationswelle ein Datenqualitaetstor einziehen</t>
  </si>
  <si>
    <t xml:space="preserve">Expert session, 21 September 2016</t>
  </si>
  <si>
    <t xml:space="preserve">OP-07</t>
  </si>
  <si>
    <t xml:space="preserve">Die Kommunikation des Betreuungsmodells um zwei Wochen vorziehen</t>
  </si>
  <si>
    <t xml:space="preserve">OP-08</t>
  </si>
  <si>
    <t xml:space="preserve">Die Tabelle der Rolleninhaber nach dem Wechsel der Teilprojektleitung Personal aktualisieren</t>
  </si>
  <si>
    <t xml:space="preserve">IMO weekly, 20 September 2016</t>
  </si>
  <si>
    <t xml:space="preserve">OP-09</t>
  </si>
  <si>
    <t xml:space="preserve">Die versicherungsmathematische Pruefung der Pensionsverpflichtung beauftragen</t>
  </si>
  <si>
    <t xml:space="preserve">WS1 jour fixe, 27 September 2016</t>
  </si>
  <si>
    <t xml:space="preserve">OP-10</t>
  </si>
  <si>
    <t xml:space="preserve">Die vorlaeufige Kundenzuordnung erstmals veroeffentlichen</t>
  </si>
  <si>
    <t xml:space="preserve">VCIO decision B-08, 20 September 2016</t>
  </si>
  <si>
    <t xml:space="preserve">OP-11</t>
  </si>
  <si>
    <t xml:space="preserve">Umsetzungskosten fuer Initiativen ausserhalb des kritischen Pfades neu takten</t>
  </si>
  <si>
    <t xml:space="preserve">OP-12</t>
  </si>
  <si>
    <t xml:space="preserve">Den Vertrieb vor der Leitveranstaltung zur Portfolio-Konkordanz briefen</t>
  </si>
  <si>
    <t xml:space="preserve">Abhaengigkeitsregister (Dependency Register)</t>
  </si>
  <si>
    <t xml:space="preserve">Uebergaben zwischen Teilprojekten  |  Beschluss B-03 verlangt Bestaetigung durch beide Leitungen  |  2 offen</t>
  </si>
  <si>
    <t xml:space="preserve">Uebergabe</t>
  </si>
  <si>
    <t xml:space="preserve">Von Teilprojekt</t>
  </si>
  <si>
    <t xml:space="preserve">An Teilprojekt</t>
  </si>
  <si>
    <t xml:space="preserve">Benoetigt bis</t>
  </si>
  <si>
    <t xml:space="preserve">Kritikalitaet</t>
  </si>
  <si>
    <t xml:space="preserve">Von beiden bestaetigt</t>
  </si>
  <si>
    <t xml:space="preserve">D-01</t>
  </si>
  <si>
    <t xml:space="preserve">Approved legal entity structure required to fix the consolidation scope</t>
  </si>
  <si>
    <t xml:space="preserve">Critical</t>
  </si>
  <si>
    <t xml:space="preserve">At risk</t>
  </si>
  <si>
    <t xml:space="preserve">D-02</t>
  </si>
  <si>
    <t xml:space="preserve">ERP target system decision required before the material master re-extract</t>
  </si>
  <si>
    <t xml:space="preserve">Delayed</t>
  </si>
  <si>
    <t xml:space="preserve">D-03</t>
  </si>
  <si>
    <t xml:space="preserve">Works council conclusion required before the organisation structure release</t>
  </si>
  <si>
    <t xml:space="preserve">D-04</t>
  </si>
  <si>
    <t xml:space="preserve">Compensation plan design required before territory and quota alignment</t>
  </si>
  <si>
    <t xml:space="preserve">High</t>
  </si>
  <si>
    <t xml:space="preserve">On track</t>
  </si>
  <si>
    <t xml:space="preserve">D-05</t>
  </si>
  <si>
    <t xml:space="preserve">Spend cube required before logistics renegotiation can be scoped</t>
  </si>
  <si>
    <t xml:space="preserve">D-06</t>
  </si>
  <si>
    <t xml:space="preserve">Lease expiry analysis required before the EMEA site plan is approved</t>
  </si>
  <si>
    <t xml:space="preserve">Medium</t>
  </si>
  <si>
    <t xml:space="preserve">D-07</t>
  </si>
  <si>
    <t xml:space="preserve">Entity plan required before transfer pricing documentation can begin</t>
  </si>
  <si>
    <t xml:space="preserve">D-08</t>
  </si>
  <si>
    <t xml:space="preserve">Portfolio cross-reference required before the flagship event narrative</t>
  </si>
  <si>
    <t xml:space="preserve">Auswertung (Summary)</t>
  </si>
  <si>
    <t xml:space="preserve">Rechnet automatisch aus den Registern Massnahmenplan und Meilensteine. Keine Eingabe.</t>
  </si>
  <si>
    <t xml:space="preserve">Aufgaben nach Status</t>
  </si>
  <si>
    <t xml:space="preserve">Anzahl</t>
  </si>
  <si>
    <t xml:space="preserve">Anteil</t>
  </si>
  <si>
    <t xml:space="preserve">Summe</t>
  </si>
  <si>
    <t xml:space="preserve">Je Teilprojekt</t>
  </si>
  <si>
    <t xml:space="preserve">Aufgaben</t>
  </si>
  <si>
    <t xml:space="preserve">davon erledigt</t>
  </si>
  <si>
    <t xml:space="preserve">davon ueberfaellig</t>
  </si>
  <si>
    <t xml:space="preserve">Meilensteine</t>
  </si>
  <si>
    <t xml:space="preserve">davon verzoegert</t>
  </si>
  <si>
    <t xml:space="preserve">Meilensteine gesamt</t>
  </si>
  <si>
    <t xml:space="preserve">davon gate-relevant</t>
  </si>
  <si>
    <t xml:space="preserve">groesste Abweichung in Tagen</t>
  </si>
  <si>
    <t xml:space="preserve">Tage bis Day 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</si>
</sst>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46A38"/>
      <name val="Arial"/>
      <family val="0"/>
      <charset val="1"/>
    </font>
    <font>
      <sz val="8.5"/>
      <color rgb="FF75787B"/>
      <name val="Arial"/>
      <family val="0"/>
      <charset val="1"/>
    </font>
    <font>
      <b val="true"/>
      <sz val="11"/>
      <color rgb="FF046A38"/>
      <name val="Arial"/>
      <family val="0"/>
      <charset val="1"/>
    </font>
    <font>
      <sz val="9"/>
      <name val="Arial"/>
      <family val="0"/>
      <charset val="1"/>
    </font>
    <font>
      <sz val="9"/>
      <color rgb="FF75787B"/>
      <name val="Arial"/>
      <family val="0"/>
      <charset val="1"/>
    </font>
    <font>
      <i val="true"/>
      <sz val="8.5"/>
      <color rgb="FF75787B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"/>
      <color rgb="FFDA291C"/>
      <name val="Arial"/>
      <family val="0"/>
      <charset val="1"/>
    </font>
    <font>
      <b val="true"/>
      <sz val="9"/>
      <color rgb="FFED8B00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46A38"/>
        <bgColor rgb="FF008080"/>
      </patternFill>
    </fill>
    <fill>
      <patternFill patternType="solid">
        <fgColor rgb="FFF7F9F3"/>
        <bgColor rgb="FFF1F6E4"/>
      </patternFill>
    </fill>
    <fill>
      <patternFill patternType="solid">
        <fgColor rgb="FFF1F6E4"/>
        <bgColor rgb="FFF7F9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46A38"/>
      <rgbColor rgb="FF000080"/>
      <rgbColor rgb="FF808000"/>
      <rgbColor rgb="FF800080"/>
      <rgbColor rgb="FF008080"/>
      <rgbColor rgb="FFBFBFBF"/>
      <rgbColor rgb="FF75787B"/>
      <rgbColor rgb="FF9999FF"/>
      <rgbColor rgb="FF993366"/>
      <rgbColor rgb="FFF1F6E4"/>
      <rgbColor rgb="FFF7F9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8B00"/>
      <rgbColor rgb="FFFF6600"/>
      <rgbColor rgb="FF666699"/>
      <rgbColor rgb="FF969696"/>
      <rgbColor rgb="FF003366"/>
      <rgbColor rgb="FF339966"/>
      <rgbColor rgb="FF003300"/>
      <rgbColor rgb="FF333300"/>
      <rgbColor rgb="FFDA29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5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25.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25.5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25.5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</row>
    <row r="9" customFormat="false" ht="25.5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</row>
    <row r="11" customFormat="false" ht="15" hidden="false" customHeight="false" outlineLevel="0" collapsed="false">
      <c r="A11" s="3" t="s">
        <v>8</v>
      </c>
    </row>
    <row r="12" customFormat="false" ht="25.5" hidden="false" customHeight="true" outlineLevel="0" collapsed="false">
      <c r="A12" s="5" t="s">
        <v>9</v>
      </c>
      <c r="B12" s="5"/>
      <c r="C12" s="5"/>
      <c r="D12" s="5"/>
      <c r="E12" s="5"/>
      <c r="F12" s="5"/>
      <c r="G12" s="5"/>
      <c r="H12" s="5"/>
    </row>
    <row r="13" customFormat="false" ht="25.5" hidden="false" customHeight="true" outlineLevel="0" collapsed="false">
      <c r="A13" s="5" t="s">
        <v>10</v>
      </c>
      <c r="B13" s="5"/>
      <c r="C13" s="5"/>
      <c r="D13" s="5"/>
      <c r="E13" s="5"/>
      <c r="F13" s="5"/>
      <c r="G13" s="5"/>
      <c r="H13" s="5"/>
    </row>
    <row r="14" customFormat="false" ht="25.5" hidden="false" customHeight="true" outlineLevel="0" collapsed="false">
      <c r="A14" s="5" t="s">
        <v>11</v>
      </c>
      <c r="B14" s="5"/>
      <c r="C14" s="5"/>
      <c r="D14" s="5"/>
      <c r="E14" s="5"/>
      <c r="F14" s="5"/>
      <c r="G14" s="5"/>
      <c r="H14" s="5"/>
    </row>
    <row r="15" customFormat="false" ht="25.5" hidden="false" customHeight="true" outlineLevel="0" collapsed="false">
      <c r="A15" s="5" t="s">
        <v>12</v>
      </c>
      <c r="B15" s="5"/>
      <c r="C15" s="5"/>
      <c r="D15" s="5"/>
      <c r="E15" s="5"/>
      <c r="F15" s="5"/>
      <c r="G15" s="5"/>
      <c r="H15" s="5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6" t="s">
        <v>14</v>
      </c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 t="s">
        <v>15</v>
      </c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 t="s">
        <v>16</v>
      </c>
      <c r="B20" s="6"/>
      <c r="C20" s="6"/>
      <c r="D20" s="6"/>
      <c r="E20" s="6"/>
      <c r="F20" s="6"/>
      <c r="G20" s="6"/>
      <c r="H20" s="6"/>
    </row>
    <row r="22" customFormat="false" ht="15" hidden="false" customHeight="false" outlineLevel="0" collapsed="false">
      <c r="A22" s="7" t="s">
        <v>17</v>
      </c>
      <c r="B22" s="7"/>
      <c r="C22" s="7"/>
      <c r="D22" s="7"/>
      <c r="E22" s="7"/>
      <c r="F22" s="7"/>
      <c r="G22" s="7"/>
      <c r="H22" s="7"/>
    </row>
  </sheetData>
  <mergeCells count="13">
    <mergeCell ref="A5:H5"/>
    <mergeCell ref="A6:H6"/>
    <mergeCell ref="A7:H7"/>
    <mergeCell ref="A8:H8"/>
    <mergeCell ref="A9:H9"/>
    <mergeCell ref="A12:H12"/>
    <mergeCell ref="A13:H13"/>
    <mergeCell ref="A14:H14"/>
    <mergeCell ref="A15:H15"/>
    <mergeCell ref="A18:H18"/>
    <mergeCell ref="A19:H19"/>
    <mergeCell ref="A20:H20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30"/>
  </cols>
  <sheetData>
    <row r="1" customFormat="false" ht="16.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30" hidden="false" customHeight="true" outlineLevel="0" collapsed="false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</row>
    <row r="5" customFormat="false" ht="22.35" hidden="false" customHeight="false" outlineLevel="0" collapsed="false">
      <c r="A5" s="9" t="s">
        <v>30</v>
      </c>
      <c r="B5" s="9" t="s">
        <v>31</v>
      </c>
      <c r="C5" s="9" t="s">
        <v>32</v>
      </c>
      <c r="D5" s="9" t="s">
        <v>33</v>
      </c>
      <c r="E5" s="10" t="n">
        <v>42646</v>
      </c>
      <c r="F5" s="9" t="s">
        <v>34</v>
      </c>
      <c r="G5" s="9" t="n">
        <v>70</v>
      </c>
      <c r="H5" s="9" t="s">
        <v>35</v>
      </c>
      <c r="I5" s="9"/>
      <c r="J5" s="9" t="s">
        <v>36</v>
      </c>
    </row>
    <row r="6" customFormat="false" ht="22.35" hidden="false" customHeight="false" outlineLevel="0" collapsed="false">
      <c r="A6" s="11" t="s">
        <v>37</v>
      </c>
      <c r="B6" s="11" t="s">
        <v>38</v>
      </c>
      <c r="C6" s="11" t="s">
        <v>32</v>
      </c>
      <c r="D6" s="11" t="s">
        <v>33</v>
      </c>
      <c r="E6" s="12" t="n">
        <v>42643</v>
      </c>
      <c r="F6" s="11" t="s">
        <v>34</v>
      </c>
      <c r="G6" s="11" t="n">
        <v>85</v>
      </c>
      <c r="H6" s="11" t="s">
        <v>35</v>
      </c>
      <c r="I6" s="11"/>
      <c r="J6" s="11" t="s">
        <v>39</v>
      </c>
    </row>
    <row r="7" customFormat="false" ht="22.35" hidden="false" customHeight="false" outlineLevel="0" collapsed="false">
      <c r="A7" s="9" t="s">
        <v>40</v>
      </c>
      <c r="B7" s="9" t="s">
        <v>41</v>
      </c>
      <c r="C7" s="9" t="s">
        <v>32</v>
      </c>
      <c r="D7" s="9" t="s">
        <v>42</v>
      </c>
      <c r="E7" s="10" t="n">
        <v>42657</v>
      </c>
      <c r="F7" s="9" t="s">
        <v>43</v>
      </c>
      <c r="G7" s="9" t="n">
        <v>20</v>
      </c>
      <c r="H7" s="9" t="s">
        <v>35</v>
      </c>
      <c r="I7" s="9" t="s">
        <v>44</v>
      </c>
      <c r="J7" s="9" t="s">
        <v>45</v>
      </c>
    </row>
    <row r="8" customFormat="false" ht="22.35" hidden="false" customHeight="false" outlineLevel="0" collapsed="false">
      <c r="A8" s="11" t="s">
        <v>46</v>
      </c>
      <c r="B8" s="11" t="s">
        <v>47</v>
      </c>
      <c r="C8" s="11" t="s">
        <v>32</v>
      </c>
      <c r="D8" s="11" t="s">
        <v>33</v>
      </c>
      <c r="E8" s="12" t="n">
        <v>42641</v>
      </c>
      <c r="F8" s="11" t="s">
        <v>48</v>
      </c>
      <c r="G8" s="11" t="n">
        <v>100</v>
      </c>
      <c r="H8" s="11" t="s">
        <v>35</v>
      </c>
      <c r="I8" s="11"/>
      <c r="J8" s="11" t="s">
        <v>49</v>
      </c>
    </row>
    <row r="9" customFormat="false" ht="22.35" hidden="false" customHeight="false" outlineLevel="0" collapsed="false">
      <c r="A9" s="9" t="s">
        <v>50</v>
      </c>
      <c r="B9" s="9" t="s">
        <v>51</v>
      </c>
      <c r="C9" s="9" t="s">
        <v>32</v>
      </c>
      <c r="D9" s="9" t="s">
        <v>42</v>
      </c>
      <c r="E9" s="10" t="n">
        <v>42664</v>
      </c>
      <c r="F9" s="9" t="s">
        <v>43</v>
      </c>
      <c r="G9" s="9" t="n">
        <v>0</v>
      </c>
      <c r="H9" s="9" t="s">
        <v>52</v>
      </c>
      <c r="I9" s="9" t="s">
        <v>30</v>
      </c>
      <c r="J9" s="9" t="s">
        <v>53</v>
      </c>
    </row>
    <row r="10" customFormat="false" ht="22.35" hidden="false" customHeight="false" outlineLevel="0" collapsed="false">
      <c r="A10" s="11" t="s">
        <v>54</v>
      </c>
      <c r="B10" s="11" t="s">
        <v>55</v>
      </c>
      <c r="C10" s="11" t="s">
        <v>32</v>
      </c>
      <c r="D10" s="11" t="s">
        <v>33</v>
      </c>
      <c r="E10" s="12" t="n">
        <v>42678</v>
      </c>
      <c r="F10" s="11" t="s">
        <v>43</v>
      </c>
      <c r="G10" s="11" t="n">
        <v>10</v>
      </c>
      <c r="H10" s="11" t="s">
        <v>52</v>
      </c>
      <c r="I10" s="11"/>
      <c r="J10" s="11" t="s">
        <v>56</v>
      </c>
    </row>
    <row r="11" customFormat="false" ht="22.35" hidden="false" customHeight="false" outlineLevel="0" collapsed="false">
      <c r="A11" s="9" t="s">
        <v>57</v>
      </c>
      <c r="B11" s="9" t="s">
        <v>58</v>
      </c>
      <c r="C11" s="9" t="s">
        <v>59</v>
      </c>
      <c r="D11" s="9" t="s">
        <v>60</v>
      </c>
      <c r="E11" s="10" t="n">
        <v>42650</v>
      </c>
      <c r="F11" s="13" t="s">
        <v>61</v>
      </c>
      <c r="G11" s="9" t="n">
        <v>55</v>
      </c>
      <c r="H11" s="9" t="s">
        <v>35</v>
      </c>
      <c r="I11" s="9"/>
      <c r="J11" s="9" t="s">
        <v>62</v>
      </c>
    </row>
    <row r="12" customFormat="false" ht="22.35" hidden="false" customHeight="false" outlineLevel="0" collapsed="false">
      <c r="A12" s="11" t="s">
        <v>44</v>
      </c>
      <c r="B12" s="11" t="s">
        <v>63</v>
      </c>
      <c r="C12" s="11" t="s">
        <v>59</v>
      </c>
      <c r="D12" s="11" t="s">
        <v>60</v>
      </c>
      <c r="E12" s="12" t="n">
        <v>42655</v>
      </c>
      <c r="F12" s="14" t="s">
        <v>64</v>
      </c>
      <c r="G12" s="11" t="n">
        <v>40</v>
      </c>
      <c r="H12" s="11" t="s">
        <v>35</v>
      </c>
      <c r="I12" s="11" t="s">
        <v>57</v>
      </c>
      <c r="J12" s="11" t="s">
        <v>65</v>
      </c>
    </row>
    <row r="13" customFormat="false" ht="22.35" hidden="false" customHeight="false" outlineLevel="0" collapsed="false">
      <c r="A13" s="9" t="s">
        <v>66</v>
      </c>
      <c r="B13" s="9" t="s">
        <v>67</v>
      </c>
      <c r="C13" s="9" t="s">
        <v>59</v>
      </c>
      <c r="D13" s="9" t="s">
        <v>60</v>
      </c>
      <c r="E13" s="10" t="n">
        <v>42685</v>
      </c>
      <c r="F13" s="9" t="s">
        <v>43</v>
      </c>
      <c r="G13" s="9" t="n">
        <v>5</v>
      </c>
      <c r="H13" s="9" t="s">
        <v>52</v>
      </c>
      <c r="I13" s="9" t="s">
        <v>44</v>
      </c>
      <c r="J13" s="9" t="s">
        <v>68</v>
      </c>
    </row>
    <row r="14" customFormat="false" ht="22.35" hidden="false" customHeight="false" outlineLevel="0" collapsed="false">
      <c r="A14" s="11" t="s">
        <v>69</v>
      </c>
      <c r="B14" s="11" t="s">
        <v>70</v>
      </c>
      <c r="C14" s="11" t="s">
        <v>59</v>
      </c>
      <c r="D14" s="11" t="s">
        <v>60</v>
      </c>
      <c r="E14" s="12" t="n">
        <v>42671</v>
      </c>
      <c r="F14" s="11" t="s">
        <v>34</v>
      </c>
      <c r="G14" s="11" t="n">
        <v>30</v>
      </c>
      <c r="H14" s="11" t="s">
        <v>52</v>
      </c>
      <c r="I14" s="11"/>
      <c r="J14" s="11" t="s">
        <v>71</v>
      </c>
    </row>
    <row r="15" customFormat="false" ht="22.35" hidden="false" customHeight="false" outlineLevel="0" collapsed="false">
      <c r="A15" s="9" t="s">
        <v>72</v>
      </c>
      <c r="B15" s="9" t="s">
        <v>73</v>
      </c>
      <c r="C15" s="9" t="s">
        <v>74</v>
      </c>
      <c r="D15" s="9" t="s">
        <v>75</v>
      </c>
      <c r="E15" s="10" t="n">
        <v>42636</v>
      </c>
      <c r="F15" s="9" t="s">
        <v>48</v>
      </c>
      <c r="G15" s="9" t="n">
        <v>100</v>
      </c>
      <c r="H15" s="9" t="s">
        <v>35</v>
      </c>
      <c r="I15" s="9"/>
      <c r="J15" s="9" t="s">
        <v>76</v>
      </c>
    </row>
    <row r="16" customFormat="false" ht="22.35" hidden="false" customHeight="false" outlineLevel="0" collapsed="false">
      <c r="A16" s="11" t="s">
        <v>77</v>
      </c>
      <c r="B16" s="11" t="s">
        <v>78</v>
      </c>
      <c r="C16" s="11" t="s">
        <v>74</v>
      </c>
      <c r="D16" s="11" t="s">
        <v>75</v>
      </c>
      <c r="E16" s="12" t="n">
        <v>42643</v>
      </c>
      <c r="F16" s="14" t="s">
        <v>61</v>
      </c>
      <c r="G16" s="11" t="n">
        <v>60</v>
      </c>
      <c r="H16" s="11" t="s">
        <v>35</v>
      </c>
      <c r="I16" s="11" t="s">
        <v>72</v>
      </c>
      <c r="J16" s="11" t="s">
        <v>79</v>
      </c>
    </row>
    <row r="17" customFormat="false" ht="22.35" hidden="false" customHeight="false" outlineLevel="0" collapsed="false">
      <c r="A17" s="9" t="s">
        <v>80</v>
      </c>
      <c r="B17" s="9" t="s">
        <v>81</v>
      </c>
      <c r="C17" s="9" t="s">
        <v>74</v>
      </c>
      <c r="D17" s="9" t="s">
        <v>82</v>
      </c>
      <c r="E17" s="10" t="n">
        <v>42648</v>
      </c>
      <c r="F17" s="9" t="s">
        <v>34</v>
      </c>
      <c r="G17" s="9" t="n">
        <v>45</v>
      </c>
      <c r="H17" s="9" t="s">
        <v>35</v>
      </c>
      <c r="I17" s="9" t="s">
        <v>77</v>
      </c>
      <c r="J17" s="9" t="s">
        <v>83</v>
      </c>
    </row>
    <row r="18" customFormat="false" ht="22.35" hidden="false" customHeight="false" outlineLevel="0" collapsed="false">
      <c r="A18" s="11" t="s">
        <v>84</v>
      </c>
      <c r="B18" s="11" t="s">
        <v>85</v>
      </c>
      <c r="C18" s="11" t="s">
        <v>74</v>
      </c>
      <c r="D18" s="11" t="s">
        <v>75</v>
      </c>
      <c r="E18" s="12" t="n">
        <v>42643</v>
      </c>
      <c r="F18" s="11" t="s">
        <v>34</v>
      </c>
      <c r="G18" s="11" t="n">
        <v>80</v>
      </c>
      <c r="H18" s="11" t="s">
        <v>52</v>
      </c>
      <c r="I18" s="11"/>
      <c r="J18" s="11" t="s">
        <v>86</v>
      </c>
    </row>
    <row r="19" customFormat="false" ht="22.35" hidden="false" customHeight="false" outlineLevel="0" collapsed="false">
      <c r="A19" s="9" t="s">
        <v>87</v>
      </c>
      <c r="B19" s="9" t="s">
        <v>88</v>
      </c>
      <c r="C19" s="9" t="s">
        <v>74</v>
      </c>
      <c r="D19" s="9" t="s">
        <v>75</v>
      </c>
      <c r="E19" s="10" t="n">
        <v>42657</v>
      </c>
      <c r="F19" s="9" t="s">
        <v>34</v>
      </c>
      <c r="G19" s="9" t="n">
        <v>35</v>
      </c>
      <c r="H19" s="9" t="s">
        <v>35</v>
      </c>
      <c r="I19" s="9"/>
      <c r="J19" s="9" t="s">
        <v>89</v>
      </c>
    </row>
    <row r="20" customFormat="false" ht="22.35" hidden="false" customHeight="false" outlineLevel="0" collapsed="false">
      <c r="A20" s="11" t="s">
        <v>90</v>
      </c>
      <c r="B20" s="11" t="s">
        <v>91</v>
      </c>
      <c r="C20" s="11" t="s">
        <v>74</v>
      </c>
      <c r="D20" s="11" t="s">
        <v>75</v>
      </c>
      <c r="E20" s="12" t="n">
        <v>42692</v>
      </c>
      <c r="F20" s="11" t="s">
        <v>43</v>
      </c>
      <c r="G20" s="11" t="n">
        <v>0</v>
      </c>
      <c r="H20" s="11" t="s">
        <v>92</v>
      </c>
      <c r="I20" s="11" t="s">
        <v>87</v>
      </c>
      <c r="J20" s="11" t="s">
        <v>93</v>
      </c>
    </row>
    <row r="21" customFormat="false" ht="22.35" hidden="false" customHeight="false" outlineLevel="0" collapsed="false">
      <c r="A21" s="9" t="s">
        <v>94</v>
      </c>
      <c r="B21" s="9" t="s">
        <v>95</v>
      </c>
      <c r="C21" s="9" t="s">
        <v>96</v>
      </c>
      <c r="D21" s="9" t="s">
        <v>97</v>
      </c>
      <c r="E21" s="10" t="n">
        <v>42654</v>
      </c>
      <c r="F21" s="13" t="s">
        <v>64</v>
      </c>
      <c r="G21" s="9" t="n">
        <v>65</v>
      </c>
      <c r="H21" s="9" t="s">
        <v>35</v>
      </c>
      <c r="I21" s="9" t="s">
        <v>98</v>
      </c>
      <c r="J21" s="9" t="s">
        <v>99</v>
      </c>
    </row>
    <row r="22" customFormat="false" ht="22.35" hidden="false" customHeight="false" outlineLevel="0" collapsed="false">
      <c r="A22" s="11" t="s">
        <v>100</v>
      </c>
      <c r="B22" s="11" t="s">
        <v>101</v>
      </c>
      <c r="C22" s="11" t="s">
        <v>96</v>
      </c>
      <c r="D22" s="11" t="s">
        <v>97</v>
      </c>
      <c r="E22" s="12" t="n">
        <v>42654</v>
      </c>
      <c r="F22" s="11" t="s">
        <v>34</v>
      </c>
      <c r="G22" s="11" t="n">
        <v>55</v>
      </c>
      <c r="H22" s="11" t="s">
        <v>35</v>
      </c>
      <c r="I22" s="11"/>
      <c r="J22" s="11" t="s">
        <v>102</v>
      </c>
    </row>
    <row r="23" customFormat="false" ht="22.35" hidden="false" customHeight="false" outlineLevel="0" collapsed="false">
      <c r="A23" s="9" t="s">
        <v>98</v>
      </c>
      <c r="B23" s="9" t="s">
        <v>103</v>
      </c>
      <c r="C23" s="9" t="s">
        <v>96</v>
      </c>
      <c r="D23" s="9" t="s">
        <v>104</v>
      </c>
      <c r="E23" s="10" t="n">
        <v>42671</v>
      </c>
      <c r="F23" s="9" t="s">
        <v>34</v>
      </c>
      <c r="G23" s="9" t="n">
        <v>40</v>
      </c>
      <c r="H23" s="9" t="s">
        <v>35</v>
      </c>
      <c r="I23" s="9"/>
      <c r="J23" s="9" t="s">
        <v>105</v>
      </c>
    </row>
    <row r="24" customFormat="false" ht="22.35" hidden="false" customHeight="false" outlineLevel="0" collapsed="false">
      <c r="A24" s="11" t="s">
        <v>106</v>
      </c>
      <c r="B24" s="11" t="s">
        <v>107</v>
      </c>
      <c r="C24" s="11" t="s">
        <v>96</v>
      </c>
      <c r="D24" s="11" t="s">
        <v>97</v>
      </c>
      <c r="E24" s="12" t="n">
        <v>42650</v>
      </c>
      <c r="F24" s="11" t="s">
        <v>34</v>
      </c>
      <c r="G24" s="11" t="n">
        <v>75</v>
      </c>
      <c r="H24" s="11" t="s">
        <v>35</v>
      </c>
      <c r="I24" s="11"/>
      <c r="J24" s="11" t="s">
        <v>108</v>
      </c>
    </row>
    <row r="25" customFormat="false" ht="22.35" hidden="false" customHeight="false" outlineLevel="0" collapsed="false">
      <c r="A25" s="9" t="s">
        <v>109</v>
      </c>
      <c r="B25" s="9" t="s">
        <v>110</v>
      </c>
      <c r="C25" s="9" t="s">
        <v>96</v>
      </c>
      <c r="D25" s="9" t="s">
        <v>111</v>
      </c>
      <c r="E25" s="10" t="n">
        <v>42650</v>
      </c>
      <c r="F25" s="9" t="s">
        <v>34</v>
      </c>
      <c r="G25" s="9" t="n">
        <v>60</v>
      </c>
      <c r="H25" s="9" t="s">
        <v>52</v>
      </c>
      <c r="I25" s="9"/>
      <c r="J25" s="9" t="s">
        <v>112</v>
      </c>
    </row>
    <row r="26" customFormat="false" ht="22.35" hidden="false" customHeight="false" outlineLevel="0" collapsed="false">
      <c r="A26" s="11" t="s">
        <v>113</v>
      </c>
      <c r="B26" s="11" t="s">
        <v>114</v>
      </c>
      <c r="C26" s="11" t="s">
        <v>96</v>
      </c>
      <c r="D26" s="11" t="s">
        <v>97</v>
      </c>
      <c r="E26" s="12" t="n">
        <v>42699</v>
      </c>
      <c r="F26" s="11" t="s">
        <v>43</v>
      </c>
      <c r="G26" s="11" t="n">
        <v>0</v>
      </c>
      <c r="H26" s="11" t="s">
        <v>52</v>
      </c>
      <c r="I26" s="11" t="s">
        <v>94</v>
      </c>
      <c r="J26" s="11" t="s">
        <v>115</v>
      </c>
    </row>
    <row r="27" customFormat="false" ht="22.35" hidden="false" customHeight="false" outlineLevel="0" collapsed="false">
      <c r="A27" s="9" t="s">
        <v>116</v>
      </c>
      <c r="B27" s="9" t="s">
        <v>117</v>
      </c>
      <c r="C27" s="9" t="s">
        <v>118</v>
      </c>
      <c r="D27" s="9" t="s">
        <v>119</v>
      </c>
      <c r="E27" s="10" t="n">
        <v>42648</v>
      </c>
      <c r="F27" s="9" t="s">
        <v>34</v>
      </c>
      <c r="G27" s="9" t="n">
        <v>84</v>
      </c>
      <c r="H27" s="9" t="s">
        <v>35</v>
      </c>
      <c r="I27" s="9"/>
      <c r="J27" s="9" t="s">
        <v>120</v>
      </c>
    </row>
    <row r="28" customFormat="false" ht="22.35" hidden="false" customHeight="false" outlineLevel="0" collapsed="false">
      <c r="A28" s="11" t="s">
        <v>121</v>
      </c>
      <c r="B28" s="11" t="s">
        <v>122</v>
      </c>
      <c r="C28" s="11" t="s">
        <v>118</v>
      </c>
      <c r="D28" s="11" t="s">
        <v>119</v>
      </c>
      <c r="E28" s="12" t="n">
        <v>42657</v>
      </c>
      <c r="F28" s="11" t="s">
        <v>34</v>
      </c>
      <c r="G28" s="11" t="n">
        <v>50</v>
      </c>
      <c r="H28" s="11" t="s">
        <v>35</v>
      </c>
      <c r="I28" s="11" t="s">
        <v>116</v>
      </c>
      <c r="J28" s="11" t="s">
        <v>123</v>
      </c>
    </row>
    <row r="29" customFormat="false" ht="22.35" hidden="false" customHeight="false" outlineLevel="0" collapsed="false">
      <c r="A29" s="9" t="s">
        <v>124</v>
      </c>
      <c r="B29" s="9" t="s">
        <v>125</v>
      </c>
      <c r="C29" s="9" t="s">
        <v>118</v>
      </c>
      <c r="D29" s="9" t="s">
        <v>119</v>
      </c>
      <c r="E29" s="10" t="n">
        <v>42671</v>
      </c>
      <c r="F29" s="9" t="s">
        <v>43</v>
      </c>
      <c r="G29" s="9" t="n">
        <v>15</v>
      </c>
      <c r="H29" s="9" t="s">
        <v>35</v>
      </c>
      <c r="I29" s="9" t="s">
        <v>121</v>
      </c>
      <c r="J29" s="9" t="s">
        <v>126</v>
      </c>
    </row>
    <row r="30" customFormat="false" ht="22.35" hidden="false" customHeight="false" outlineLevel="0" collapsed="false">
      <c r="A30" s="11" t="s">
        <v>127</v>
      </c>
      <c r="B30" s="11" t="s">
        <v>128</v>
      </c>
      <c r="C30" s="11" t="s">
        <v>118</v>
      </c>
      <c r="D30" s="11" t="s">
        <v>119</v>
      </c>
      <c r="E30" s="12" t="n">
        <v>42685</v>
      </c>
      <c r="F30" s="11" t="s">
        <v>43</v>
      </c>
      <c r="G30" s="11" t="n">
        <v>0</v>
      </c>
      <c r="H30" s="11" t="s">
        <v>52</v>
      </c>
      <c r="I30" s="11"/>
      <c r="J30" s="11" t="s">
        <v>129</v>
      </c>
    </row>
    <row r="31" customFormat="false" ht="22.35" hidden="false" customHeight="false" outlineLevel="0" collapsed="false">
      <c r="A31" s="9" t="s">
        <v>130</v>
      </c>
      <c r="B31" s="9" t="s">
        <v>131</v>
      </c>
      <c r="C31" s="9" t="s">
        <v>132</v>
      </c>
      <c r="D31" s="9" t="s">
        <v>133</v>
      </c>
      <c r="E31" s="10" t="n">
        <v>42639</v>
      </c>
      <c r="F31" s="9" t="s">
        <v>48</v>
      </c>
      <c r="G31" s="9" t="n">
        <v>100</v>
      </c>
      <c r="H31" s="9" t="s">
        <v>35</v>
      </c>
      <c r="I31" s="9"/>
      <c r="J31" s="9" t="s">
        <v>134</v>
      </c>
    </row>
    <row r="32" customFormat="false" ht="22.35" hidden="false" customHeight="false" outlineLevel="0" collapsed="false">
      <c r="A32" s="11" t="s">
        <v>135</v>
      </c>
      <c r="B32" s="11" t="s">
        <v>136</v>
      </c>
      <c r="C32" s="11" t="s">
        <v>132</v>
      </c>
      <c r="D32" s="11" t="s">
        <v>133</v>
      </c>
      <c r="E32" s="12" t="n">
        <v>42664</v>
      </c>
      <c r="F32" s="11" t="s">
        <v>34</v>
      </c>
      <c r="G32" s="11" t="n">
        <v>40</v>
      </c>
      <c r="H32" s="11" t="s">
        <v>35</v>
      </c>
      <c r="I32" s="11" t="s">
        <v>100</v>
      </c>
      <c r="J32" s="11" t="s">
        <v>137</v>
      </c>
    </row>
    <row r="33" customFormat="false" ht="22.35" hidden="false" customHeight="false" outlineLevel="0" collapsed="false">
      <c r="A33" s="9" t="s">
        <v>138</v>
      </c>
      <c r="B33" s="9" t="s">
        <v>139</v>
      </c>
      <c r="C33" s="9" t="s">
        <v>132</v>
      </c>
      <c r="D33" s="9" t="s">
        <v>111</v>
      </c>
      <c r="E33" s="10" t="n">
        <v>42654</v>
      </c>
      <c r="F33" s="9" t="s">
        <v>34</v>
      </c>
      <c r="G33" s="9" t="n">
        <v>55</v>
      </c>
      <c r="H33" s="9" t="s">
        <v>35</v>
      </c>
      <c r="I33" s="9"/>
      <c r="J33" s="9" t="s">
        <v>140</v>
      </c>
    </row>
    <row r="34" customFormat="false" ht="22.35" hidden="false" customHeight="false" outlineLevel="0" collapsed="false">
      <c r="A34" s="11" t="s">
        <v>141</v>
      </c>
      <c r="B34" s="11" t="s">
        <v>142</v>
      </c>
      <c r="C34" s="11" t="s">
        <v>132</v>
      </c>
      <c r="D34" s="11" t="s">
        <v>133</v>
      </c>
      <c r="E34" s="12" t="n">
        <v>42678</v>
      </c>
      <c r="F34" s="11" t="s">
        <v>43</v>
      </c>
      <c r="G34" s="11" t="n">
        <v>10</v>
      </c>
      <c r="H34" s="11" t="s">
        <v>52</v>
      </c>
      <c r="I34" s="11"/>
      <c r="J34" s="11" t="s">
        <v>143</v>
      </c>
    </row>
    <row r="35" customFormat="false" ht="22.35" hidden="false" customHeight="false" outlineLevel="0" collapsed="false">
      <c r="A35" s="9" t="s">
        <v>144</v>
      </c>
      <c r="B35" s="9" t="s">
        <v>145</v>
      </c>
      <c r="C35" s="9" t="s">
        <v>132</v>
      </c>
      <c r="D35" s="9" t="s">
        <v>146</v>
      </c>
      <c r="E35" s="10" t="n">
        <v>42657</v>
      </c>
      <c r="F35" s="9" t="s">
        <v>34</v>
      </c>
      <c r="G35" s="9" t="n">
        <v>30</v>
      </c>
      <c r="H35" s="9" t="s">
        <v>52</v>
      </c>
      <c r="I35" s="9"/>
      <c r="J35" s="9" t="s">
        <v>147</v>
      </c>
    </row>
    <row r="36" customFormat="false" ht="22.35" hidden="false" customHeight="false" outlineLevel="0" collapsed="false">
      <c r="A36" s="11" t="s">
        <v>148</v>
      </c>
      <c r="B36" s="11" t="s">
        <v>149</v>
      </c>
      <c r="C36" s="11" t="s">
        <v>150</v>
      </c>
      <c r="D36" s="11" t="s">
        <v>151</v>
      </c>
      <c r="E36" s="12" t="n">
        <v>42664</v>
      </c>
      <c r="F36" s="11" t="s">
        <v>34</v>
      </c>
      <c r="G36" s="11" t="n">
        <v>79</v>
      </c>
      <c r="H36" s="11" t="s">
        <v>52</v>
      </c>
      <c r="I36" s="11"/>
      <c r="J36" s="11" t="s">
        <v>152</v>
      </c>
    </row>
    <row r="37" customFormat="false" ht="22.35" hidden="false" customHeight="false" outlineLevel="0" collapsed="false">
      <c r="A37" s="9" t="s">
        <v>153</v>
      </c>
      <c r="B37" s="9" t="s">
        <v>154</v>
      </c>
      <c r="C37" s="9" t="s">
        <v>150</v>
      </c>
      <c r="D37" s="9" t="s">
        <v>155</v>
      </c>
      <c r="E37" s="10" t="n">
        <v>42678</v>
      </c>
      <c r="F37" s="9" t="s">
        <v>43</v>
      </c>
      <c r="G37" s="9" t="n">
        <v>20</v>
      </c>
      <c r="H37" s="9" t="s">
        <v>52</v>
      </c>
      <c r="I37" s="9" t="s">
        <v>148</v>
      </c>
      <c r="J37" s="9" t="s">
        <v>156</v>
      </c>
    </row>
    <row r="38" customFormat="false" ht="22.35" hidden="false" customHeight="false" outlineLevel="0" collapsed="false">
      <c r="A38" s="11" t="s">
        <v>157</v>
      </c>
      <c r="B38" s="11" t="s">
        <v>158</v>
      </c>
      <c r="C38" s="11" t="s">
        <v>150</v>
      </c>
      <c r="D38" s="11" t="s">
        <v>151</v>
      </c>
      <c r="E38" s="12" t="n">
        <v>42657</v>
      </c>
      <c r="F38" s="11" t="s">
        <v>34</v>
      </c>
      <c r="G38" s="11" t="n">
        <v>45</v>
      </c>
      <c r="H38" s="11" t="s">
        <v>92</v>
      </c>
      <c r="I38" s="11"/>
      <c r="J38" s="11" t="s">
        <v>159</v>
      </c>
    </row>
    <row r="39" customFormat="false" ht="22.35" hidden="false" customHeight="false" outlineLevel="0" collapsed="false">
      <c r="A39" s="9" t="s">
        <v>160</v>
      </c>
      <c r="B39" s="9" t="s">
        <v>161</v>
      </c>
      <c r="C39" s="9" t="s">
        <v>32</v>
      </c>
      <c r="D39" s="9" t="s">
        <v>162</v>
      </c>
      <c r="E39" s="10" t="n">
        <v>42636</v>
      </c>
      <c r="F39" s="9" t="s">
        <v>48</v>
      </c>
      <c r="G39" s="9" t="n">
        <v>100</v>
      </c>
      <c r="H39" s="9" t="s">
        <v>35</v>
      </c>
      <c r="I39" s="9"/>
      <c r="J39" s="9" t="s">
        <v>163</v>
      </c>
    </row>
    <row r="40" customFormat="false" ht="22.35" hidden="false" customHeight="false" outlineLevel="0" collapsed="false">
      <c r="A40" s="11" t="s">
        <v>164</v>
      </c>
      <c r="B40" s="11" t="s">
        <v>165</v>
      </c>
      <c r="C40" s="11" t="s">
        <v>32</v>
      </c>
      <c r="D40" s="11" t="s">
        <v>162</v>
      </c>
      <c r="E40" s="12" t="n">
        <v>42650</v>
      </c>
      <c r="F40" s="11" t="s">
        <v>34</v>
      </c>
      <c r="G40" s="11" t="n">
        <v>65</v>
      </c>
      <c r="H40" s="11" t="s">
        <v>35</v>
      </c>
      <c r="I40" s="11"/>
      <c r="J40" s="11" t="s">
        <v>166</v>
      </c>
    </row>
    <row r="41" customFormat="false" ht="22.35" hidden="false" customHeight="false" outlineLevel="0" collapsed="false">
      <c r="A41" s="9" t="s">
        <v>167</v>
      </c>
      <c r="B41" s="9" t="s">
        <v>168</v>
      </c>
      <c r="C41" s="9" t="s">
        <v>74</v>
      </c>
      <c r="D41" s="9" t="s">
        <v>169</v>
      </c>
      <c r="E41" s="10" t="n">
        <v>42643</v>
      </c>
      <c r="F41" s="9" t="s">
        <v>34</v>
      </c>
      <c r="G41" s="9" t="n">
        <v>90</v>
      </c>
      <c r="H41" s="9" t="s">
        <v>35</v>
      </c>
      <c r="I41" s="9"/>
      <c r="J41" s="9" t="s">
        <v>170</v>
      </c>
    </row>
    <row r="42" customFormat="false" ht="22.35" hidden="false" customHeight="false" outlineLevel="0" collapsed="false">
      <c r="A42" s="11" t="s">
        <v>171</v>
      </c>
      <c r="B42" s="11" t="s">
        <v>172</v>
      </c>
      <c r="C42" s="11" t="s">
        <v>32</v>
      </c>
      <c r="D42" s="11" t="s">
        <v>169</v>
      </c>
      <c r="E42" s="12" t="n">
        <v>42642</v>
      </c>
      <c r="F42" s="11" t="s">
        <v>34</v>
      </c>
      <c r="G42" s="11" t="n">
        <v>67</v>
      </c>
      <c r="H42" s="11" t="s">
        <v>35</v>
      </c>
      <c r="I42" s="11"/>
      <c r="J42" s="11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10" min="9" style="0" width="13"/>
    <col collapsed="false" customWidth="true" hidden="false" outlineLevel="0" max="11" min="11" style="0" width="46"/>
  </cols>
  <sheetData>
    <row r="1" customFormat="false" ht="16.1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30" hidden="false" customHeight="true" outlineLevel="0" collapsed="false">
      <c r="A4" s="8" t="s">
        <v>20</v>
      </c>
      <c r="B4" s="8" t="s">
        <v>176</v>
      </c>
      <c r="C4" s="8" t="s">
        <v>177</v>
      </c>
      <c r="D4" s="8" t="s">
        <v>22</v>
      </c>
      <c r="E4" s="8" t="s">
        <v>23</v>
      </c>
      <c r="F4" s="8" t="s">
        <v>178</v>
      </c>
      <c r="G4" s="8" t="s">
        <v>179</v>
      </c>
      <c r="H4" s="8" t="s">
        <v>180</v>
      </c>
      <c r="I4" s="8" t="s">
        <v>25</v>
      </c>
      <c r="J4" s="8" t="s">
        <v>181</v>
      </c>
      <c r="K4" s="8" t="s">
        <v>29</v>
      </c>
    </row>
    <row r="5" customFormat="false" ht="22.35" hidden="false" customHeight="false" outlineLevel="0" collapsed="false">
      <c r="A5" s="9" t="s">
        <v>182</v>
      </c>
      <c r="B5" s="9" t="s">
        <v>183</v>
      </c>
      <c r="C5" s="9" t="s">
        <v>184</v>
      </c>
      <c r="D5" s="9" t="s">
        <v>132</v>
      </c>
      <c r="E5" s="9" t="s">
        <v>133</v>
      </c>
      <c r="F5" s="10" t="n">
        <v>42620</v>
      </c>
      <c r="G5" s="10" t="n">
        <v>42620</v>
      </c>
      <c r="H5" s="15" t="n">
        <f aca="false">G5-F5</f>
        <v>0</v>
      </c>
      <c r="I5" s="9" t="s">
        <v>48</v>
      </c>
      <c r="J5" s="9" t="s">
        <v>185</v>
      </c>
      <c r="K5" s="9" t="s">
        <v>186</v>
      </c>
    </row>
    <row r="6" customFormat="false" ht="22.35" hidden="false" customHeight="false" outlineLevel="0" collapsed="false">
      <c r="A6" s="11" t="s">
        <v>187</v>
      </c>
      <c r="B6" s="11" t="s">
        <v>188</v>
      </c>
      <c r="C6" s="11" t="s">
        <v>184</v>
      </c>
      <c r="D6" s="11" t="s">
        <v>96</v>
      </c>
      <c r="E6" s="11" t="s">
        <v>97</v>
      </c>
      <c r="F6" s="12" t="n">
        <v>42620</v>
      </c>
      <c r="G6" s="12" t="n">
        <v>42620</v>
      </c>
      <c r="H6" s="15" t="n">
        <f aca="false">G6-F6</f>
        <v>0</v>
      </c>
      <c r="I6" s="11" t="s">
        <v>48</v>
      </c>
      <c r="J6" s="11" t="s">
        <v>185</v>
      </c>
      <c r="K6" s="11" t="s">
        <v>189</v>
      </c>
    </row>
    <row r="7" customFormat="false" ht="22.35" hidden="false" customHeight="false" outlineLevel="0" collapsed="false">
      <c r="A7" s="9" t="s">
        <v>190</v>
      </c>
      <c r="B7" s="9" t="s">
        <v>191</v>
      </c>
      <c r="C7" s="9" t="s">
        <v>184</v>
      </c>
      <c r="D7" s="9" t="s">
        <v>132</v>
      </c>
      <c r="E7" s="9" t="s">
        <v>133</v>
      </c>
      <c r="F7" s="10" t="n">
        <v>42620</v>
      </c>
      <c r="G7" s="10" t="n">
        <v>42620</v>
      </c>
      <c r="H7" s="15" t="n">
        <f aca="false">G7-F7</f>
        <v>0</v>
      </c>
      <c r="I7" s="9" t="s">
        <v>48</v>
      </c>
      <c r="J7" s="9" t="s">
        <v>185</v>
      </c>
      <c r="K7" s="9" t="s">
        <v>192</v>
      </c>
    </row>
    <row r="8" customFormat="false" ht="22.35" hidden="false" customHeight="false" outlineLevel="0" collapsed="false">
      <c r="A8" s="11" t="s">
        <v>193</v>
      </c>
      <c r="B8" s="11" t="s">
        <v>194</v>
      </c>
      <c r="C8" s="11" t="s">
        <v>195</v>
      </c>
      <c r="D8" s="11" t="s">
        <v>32</v>
      </c>
      <c r="E8" s="11" t="s">
        <v>33</v>
      </c>
      <c r="F8" s="12" t="n">
        <v>42650</v>
      </c>
      <c r="G8" s="12" t="n">
        <v>42650</v>
      </c>
      <c r="H8" s="15" t="n">
        <f aca="false">G8-F8</f>
        <v>0</v>
      </c>
      <c r="I8" s="11" t="s">
        <v>196</v>
      </c>
      <c r="J8" s="11" t="s">
        <v>185</v>
      </c>
      <c r="K8" s="11" t="s">
        <v>197</v>
      </c>
    </row>
    <row r="9" customFormat="false" ht="22.35" hidden="false" customHeight="false" outlineLevel="0" collapsed="false">
      <c r="A9" s="9" t="s">
        <v>198</v>
      </c>
      <c r="B9" s="9" t="s">
        <v>199</v>
      </c>
      <c r="C9" s="9" t="s">
        <v>195</v>
      </c>
      <c r="D9" s="9" t="s">
        <v>59</v>
      </c>
      <c r="E9" s="9" t="s">
        <v>60</v>
      </c>
      <c r="F9" s="10" t="n">
        <v>42650</v>
      </c>
      <c r="G9" s="10" t="n">
        <v>42657</v>
      </c>
      <c r="H9" s="15" t="n">
        <f aca="false">G9-F9</f>
        <v>7</v>
      </c>
      <c r="I9" s="13" t="s">
        <v>200</v>
      </c>
      <c r="J9" s="9" t="s">
        <v>185</v>
      </c>
      <c r="K9" s="9" t="s">
        <v>201</v>
      </c>
    </row>
    <row r="10" customFormat="false" ht="15" hidden="false" customHeight="false" outlineLevel="0" collapsed="false">
      <c r="A10" s="11" t="s">
        <v>202</v>
      </c>
      <c r="B10" s="11" t="s">
        <v>203</v>
      </c>
      <c r="C10" s="11" t="s">
        <v>195</v>
      </c>
      <c r="D10" s="11" t="s">
        <v>32</v>
      </c>
      <c r="E10" s="11" t="s">
        <v>33</v>
      </c>
      <c r="F10" s="12" t="n">
        <v>42650</v>
      </c>
      <c r="G10" s="12" t="n">
        <v>42650</v>
      </c>
      <c r="H10" s="15" t="n">
        <f aca="false">G10-F10</f>
        <v>0</v>
      </c>
      <c r="I10" s="11" t="s">
        <v>196</v>
      </c>
      <c r="J10" s="11" t="s">
        <v>204</v>
      </c>
      <c r="K10" s="11" t="s">
        <v>205</v>
      </c>
    </row>
    <row r="11" customFormat="false" ht="32.8" hidden="false" customHeight="false" outlineLevel="0" collapsed="false">
      <c r="A11" s="9" t="s">
        <v>206</v>
      </c>
      <c r="B11" s="9" t="s">
        <v>207</v>
      </c>
      <c r="C11" s="9" t="s">
        <v>195</v>
      </c>
      <c r="D11" s="9" t="s">
        <v>74</v>
      </c>
      <c r="E11" s="9" t="s">
        <v>75</v>
      </c>
      <c r="F11" s="10" t="n">
        <v>42650</v>
      </c>
      <c r="G11" s="10" t="n">
        <v>42664</v>
      </c>
      <c r="H11" s="15" t="n">
        <f aca="false">G11-F11</f>
        <v>14</v>
      </c>
      <c r="I11" s="13" t="s">
        <v>200</v>
      </c>
      <c r="J11" s="9" t="s">
        <v>185</v>
      </c>
      <c r="K11" s="9" t="s">
        <v>208</v>
      </c>
    </row>
    <row r="12" customFormat="false" ht="15" hidden="false" customHeight="false" outlineLevel="0" collapsed="false">
      <c r="A12" s="11" t="s">
        <v>209</v>
      </c>
      <c r="B12" s="11" t="s">
        <v>210</v>
      </c>
      <c r="C12" s="11" t="s">
        <v>195</v>
      </c>
      <c r="D12" s="11" t="s">
        <v>74</v>
      </c>
      <c r="E12" s="11" t="s">
        <v>75</v>
      </c>
      <c r="F12" s="12" t="n">
        <v>42650</v>
      </c>
      <c r="G12" s="12" t="n">
        <v>42650</v>
      </c>
      <c r="H12" s="15" t="n">
        <f aca="false">G12-F12</f>
        <v>0</v>
      </c>
      <c r="I12" s="11" t="s">
        <v>196</v>
      </c>
      <c r="J12" s="11" t="s">
        <v>204</v>
      </c>
      <c r="K12" s="11" t="s">
        <v>211</v>
      </c>
    </row>
    <row r="13" customFormat="false" ht="22.35" hidden="false" customHeight="false" outlineLevel="0" collapsed="false">
      <c r="A13" s="9" t="s">
        <v>212</v>
      </c>
      <c r="B13" s="9" t="s">
        <v>213</v>
      </c>
      <c r="C13" s="9" t="s">
        <v>195</v>
      </c>
      <c r="D13" s="9" t="s">
        <v>96</v>
      </c>
      <c r="E13" s="9" t="s">
        <v>97</v>
      </c>
      <c r="F13" s="10" t="n">
        <v>42650</v>
      </c>
      <c r="G13" s="10" t="n">
        <v>42654</v>
      </c>
      <c r="H13" s="15" t="n">
        <f aca="false">G13-F13</f>
        <v>4</v>
      </c>
      <c r="I13" s="16" t="s">
        <v>214</v>
      </c>
      <c r="J13" s="9" t="s">
        <v>185</v>
      </c>
      <c r="K13" s="9" t="s">
        <v>215</v>
      </c>
    </row>
    <row r="14" customFormat="false" ht="22.35" hidden="false" customHeight="false" outlineLevel="0" collapsed="false">
      <c r="A14" s="11" t="s">
        <v>216</v>
      </c>
      <c r="B14" s="11" t="s">
        <v>217</v>
      </c>
      <c r="C14" s="11" t="s">
        <v>195</v>
      </c>
      <c r="D14" s="11" t="s">
        <v>118</v>
      </c>
      <c r="E14" s="11" t="s">
        <v>119</v>
      </c>
      <c r="F14" s="12" t="n">
        <v>42650</v>
      </c>
      <c r="G14" s="12" t="n">
        <v>42650</v>
      </c>
      <c r="H14" s="15" t="n">
        <f aca="false">G14-F14</f>
        <v>0</v>
      </c>
      <c r="I14" s="11" t="s">
        <v>196</v>
      </c>
      <c r="J14" s="11" t="s">
        <v>204</v>
      </c>
      <c r="K14" s="11" t="s">
        <v>218</v>
      </c>
    </row>
    <row r="15" customFormat="false" ht="22.35" hidden="false" customHeight="false" outlineLevel="0" collapsed="false">
      <c r="A15" s="9" t="s">
        <v>219</v>
      </c>
      <c r="B15" s="9" t="s">
        <v>220</v>
      </c>
      <c r="C15" s="9" t="s">
        <v>221</v>
      </c>
      <c r="D15" s="9" t="s">
        <v>132</v>
      </c>
      <c r="E15" s="9" t="s">
        <v>133</v>
      </c>
      <c r="F15" s="10" t="n">
        <v>42661</v>
      </c>
      <c r="G15" s="10" t="n">
        <v>42661</v>
      </c>
      <c r="H15" s="15" t="n">
        <f aca="false">G15-F15</f>
        <v>0</v>
      </c>
      <c r="I15" s="9" t="s">
        <v>196</v>
      </c>
      <c r="J15" s="9" t="s">
        <v>185</v>
      </c>
      <c r="K15" s="9" t="s">
        <v>222</v>
      </c>
    </row>
    <row r="16" customFormat="false" ht="22.35" hidden="false" customHeight="false" outlineLevel="0" collapsed="false">
      <c r="A16" s="11" t="s">
        <v>223</v>
      </c>
      <c r="B16" s="11" t="s">
        <v>224</v>
      </c>
      <c r="C16" s="11" t="s">
        <v>221</v>
      </c>
      <c r="D16" s="11" t="s">
        <v>132</v>
      </c>
      <c r="E16" s="11" t="s">
        <v>133</v>
      </c>
      <c r="F16" s="12" t="n">
        <v>42678</v>
      </c>
      <c r="G16" s="12" t="n">
        <v>42678</v>
      </c>
      <c r="H16" s="15" t="n">
        <f aca="false">G16-F16</f>
        <v>0</v>
      </c>
      <c r="I16" s="11" t="s">
        <v>196</v>
      </c>
      <c r="J16" s="11" t="s">
        <v>185</v>
      </c>
      <c r="K16" s="11" t="s">
        <v>225</v>
      </c>
    </row>
    <row r="17" customFormat="false" ht="22.35" hidden="false" customHeight="false" outlineLevel="0" collapsed="false">
      <c r="A17" s="9" t="s">
        <v>226</v>
      </c>
      <c r="B17" s="9" t="s">
        <v>227</v>
      </c>
      <c r="C17" s="9" t="s">
        <v>221</v>
      </c>
      <c r="D17" s="9" t="s">
        <v>96</v>
      </c>
      <c r="E17" s="9" t="s">
        <v>228</v>
      </c>
      <c r="F17" s="10" t="n">
        <v>42671</v>
      </c>
      <c r="G17" s="10" t="n">
        <v>42685</v>
      </c>
      <c r="H17" s="15" t="n">
        <f aca="false">G17-F17</f>
        <v>14</v>
      </c>
      <c r="I17" s="13" t="s">
        <v>200</v>
      </c>
      <c r="J17" s="9" t="s">
        <v>185</v>
      </c>
      <c r="K17" s="9" t="s">
        <v>229</v>
      </c>
    </row>
    <row r="18" customFormat="false" ht="15" hidden="false" customHeight="false" outlineLevel="0" collapsed="false">
      <c r="A18" s="11" t="s">
        <v>230</v>
      </c>
      <c r="B18" s="11" t="s">
        <v>231</v>
      </c>
      <c r="C18" s="11" t="s">
        <v>221</v>
      </c>
      <c r="D18" s="11" t="s">
        <v>150</v>
      </c>
      <c r="E18" s="11" t="s">
        <v>151</v>
      </c>
      <c r="F18" s="12" t="n">
        <v>42692</v>
      </c>
      <c r="G18" s="12" t="n">
        <v>42692</v>
      </c>
      <c r="H18" s="15" t="n">
        <f aca="false">G18-F18</f>
        <v>0</v>
      </c>
      <c r="I18" s="11" t="s">
        <v>196</v>
      </c>
      <c r="J18" s="11" t="s">
        <v>204</v>
      </c>
      <c r="K18" s="11" t="s">
        <v>232</v>
      </c>
    </row>
    <row r="19" customFormat="false" ht="22.35" hidden="false" customHeight="false" outlineLevel="0" collapsed="false">
      <c r="A19" s="9" t="s">
        <v>233</v>
      </c>
      <c r="B19" s="9" t="s">
        <v>234</v>
      </c>
      <c r="C19" s="9" t="s">
        <v>221</v>
      </c>
      <c r="D19" s="9" t="s">
        <v>59</v>
      </c>
      <c r="E19" s="9" t="s">
        <v>60</v>
      </c>
      <c r="F19" s="10" t="n">
        <v>42699</v>
      </c>
      <c r="G19" s="10" t="n">
        <v>42699</v>
      </c>
      <c r="H19" s="15" t="n">
        <f aca="false">G19-F19</f>
        <v>0</v>
      </c>
      <c r="I19" s="9" t="s">
        <v>196</v>
      </c>
      <c r="J19" s="9" t="s">
        <v>185</v>
      </c>
      <c r="K19" s="9" t="s">
        <v>235</v>
      </c>
    </row>
    <row r="20" customFormat="false" ht="15" hidden="false" customHeight="false" outlineLevel="0" collapsed="false">
      <c r="A20" s="11" t="s">
        <v>236</v>
      </c>
      <c r="B20" s="11" t="s">
        <v>237</v>
      </c>
      <c r="C20" s="11" t="s">
        <v>221</v>
      </c>
      <c r="D20" s="11" t="s">
        <v>118</v>
      </c>
      <c r="E20" s="11" t="s">
        <v>119</v>
      </c>
      <c r="F20" s="12" t="n">
        <v>42706</v>
      </c>
      <c r="G20" s="12" t="n">
        <v>42706</v>
      </c>
      <c r="H20" s="15" t="n">
        <f aca="false">G20-F20</f>
        <v>0</v>
      </c>
      <c r="I20" s="11" t="s">
        <v>196</v>
      </c>
      <c r="J20" s="11" t="s">
        <v>185</v>
      </c>
      <c r="K20" s="11" t="s">
        <v>238</v>
      </c>
    </row>
    <row r="21" customFormat="false" ht="15" hidden="false" customHeight="false" outlineLevel="0" collapsed="false">
      <c r="A21" s="9" t="s">
        <v>239</v>
      </c>
      <c r="B21" s="9" t="s">
        <v>240</v>
      </c>
      <c r="C21" s="9" t="s">
        <v>221</v>
      </c>
      <c r="D21" s="9" t="s">
        <v>32</v>
      </c>
      <c r="E21" s="9" t="s">
        <v>169</v>
      </c>
      <c r="F21" s="10" t="n">
        <v>42720</v>
      </c>
      <c r="G21" s="10" t="n">
        <v>42720</v>
      </c>
      <c r="H21" s="15" t="n">
        <f aca="false">G21-F21</f>
        <v>0</v>
      </c>
      <c r="I21" s="9" t="s">
        <v>196</v>
      </c>
      <c r="J21" s="9" t="s">
        <v>185</v>
      </c>
      <c r="K21" s="9" t="s">
        <v>241</v>
      </c>
    </row>
    <row r="22" customFormat="false" ht="15" hidden="false" customHeight="false" outlineLevel="0" collapsed="false">
      <c r="A22" s="11" t="s">
        <v>242</v>
      </c>
      <c r="B22" s="11" t="s">
        <v>243</v>
      </c>
      <c r="C22" s="11" t="s">
        <v>244</v>
      </c>
      <c r="D22" s="11" t="s">
        <v>96</v>
      </c>
      <c r="E22" s="11" t="s">
        <v>169</v>
      </c>
      <c r="F22" s="12" t="n">
        <v>42720</v>
      </c>
      <c r="G22" s="12" t="n">
        <v>42720</v>
      </c>
      <c r="H22" s="15" t="n">
        <f aca="false">G22-F22</f>
        <v>0</v>
      </c>
      <c r="I22" s="11" t="s">
        <v>196</v>
      </c>
      <c r="J22" s="11" t="s">
        <v>204</v>
      </c>
      <c r="K22" s="11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</row>
    <row r="4" customFormat="false" ht="30" hidden="false" customHeight="true" outlineLevel="0" collapsed="false">
      <c r="A4" s="8" t="s">
        <v>20</v>
      </c>
      <c r="B4" s="8" t="s">
        <v>248</v>
      </c>
      <c r="C4" s="8" t="s">
        <v>249</v>
      </c>
      <c r="D4" s="8" t="s">
        <v>250</v>
      </c>
      <c r="E4" s="8" t="s">
        <v>251</v>
      </c>
      <c r="F4" s="8" t="s">
        <v>252</v>
      </c>
      <c r="G4" s="8" t="s">
        <v>253</v>
      </c>
      <c r="H4" s="8" t="s">
        <v>254</v>
      </c>
    </row>
    <row r="5" customFormat="false" ht="22.35" hidden="false" customHeight="false" outlineLevel="0" collapsed="false">
      <c r="A5" s="9" t="s">
        <v>255</v>
      </c>
      <c r="B5" s="9" t="s">
        <v>256</v>
      </c>
      <c r="C5" s="9" t="s">
        <v>257</v>
      </c>
      <c r="D5" s="9" t="s">
        <v>258</v>
      </c>
      <c r="E5" s="10" t="n">
        <v>42628</v>
      </c>
      <c r="F5" s="9" t="s">
        <v>259</v>
      </c>
      <c r="G5" s="9" t="s">
        <v>260</v>
      </c>
      <c r="H5" s="9" t="s">
        <v>261</v>
      </c>
    </row>
    <row r="6" customFormat="false" ht="22.35" hidden="false" customHeight="false" outlineLevel="0" collapsed="false">
      <c r="A6" s="11" t="s">
        <v>262</v>
      </c>
      <c r="B6" s="11" t="s">
        <v>263</v>
      </c>
      <c r="C6" s="11" t="s">
        <v>264</v>
      </c>
      <c r="D6" s="11" t="s">
        <v>258</v>
      </c>
      <c r="E6" s="12" t="n">
        <v>42628</v>
      </c>
      <c r="F6" s="11" t="s">
        <v>259</v>
      </c>
      <c r="G6" s="11" t="s">
        <v>146</v>
      </c>
      <c r="H6" s="11" t="s">
        <v>265</v>
      </c>
    </row>
    <row r="7" customFormat="false" ht="32.8" hidden="false" customHeight="false" outlineLevel="0" collapsed="false">
      <c r="A7" s="9" t="s">
        <v>266</v>
      </c>
      <c r="B7" s="9" t="s">
        <v>267</v>
      </c>
      <c r="C7" s="9" t="s">
        <v>268</v>
      </c>
      <c r="D7" s="9" t="s">
        <v>258</v>
      </c>
      <c r="E7" s="10" t="n">
        <v>42628</v>
      </c>
      <c r="F7" s="9" t="s">
        <v>259</v>
      </c>
      <c r="G7" s="9" t="s">
        <v>169</v>
      </c>
      <c r="H7" s="9" t="s">
        <v>265</v>
      </c>
    </row>
    <row r="8" customFormat="false" ht="32.8" hidden="false" customHeight="false" outlineLevel="0" collapsed="false">
      <c r="A8" s="11" t="s">
        <v>269</v>
      </c>
      <c r="B8" s="11" t="s">
        <v>270</v>
      </c>
      <c r="C8" s="11" t="s">
        <v>271</v>
      </c>
      <c r="D8" s="11" t="s">
        <v>272</v>
      </c>
      <c r="E8" s="12" t="n">
        <v>42634</v>
      </c>
      <c r="F8" s="11" t="s">
        <v>273</v>
      </c>
      <c r="G8" s="11" t="s">
        <v>75</v>
      </c>
      <c r="H8" s="11" t="s">
        <v>265</v>
      </c>
    </row>
    <row r="9" customFormat="false" ht="32.8" hidden="false" customHeight="false" outlineLevel="0" collapsed="false">
      <c r="A9" s="9" t="s">
        <v>274</v>
      </c>
      <c r="B9" s="9" t="s">
        <v>275</v>
      </c>
      <c r="C9" s="9" t="s">
        <v>276</v>
      </c>
      <c r="D9" s="9" t="s">
        <v>272</v>
      </c>
      <c r="E9" s="10" t="n">
        <v>42640</v>
      </c>
      <c r="F9" s="9" t="s">
        <v>277</v>
      </c>
      <c r="G9" s="9" t="s">
        <v>104</v>
      </c>
      <c r="H9" s="9" t="s">
        <v>278</v>
      </c>
    </row>
    <row r="10" customFormat="false" ht="22.35" hidden="false" customHeight="false" outlineLevel="0" collapsed="false">
      <c r="A10" s="11" t="s">
        <v>279</v>
      </c>
      <c r="B10" s="11" t="s">
        <v>280</v>
      </c>
      <c r="C10" s="11" t="s">
        <v>281</v>
      </c>
      <c r="D10" s="11" t="s">
        <v>258</v>
      </c>
      <c r="E10" s="12" t="n">
        <v>42628</v>
      </c>
      <c r="F10" s="11" t="s">
        <v>259</v>
      </c>
      <c r="G10" s="11" t="s">
        <v>162</v>
      </c>
      <c r="H10" s="11" t="s">
        <v>261</v>
      </c>
    </row>
    <row r="11" customFormat="false" ht="22.35" hidden="false" customHeight="false" outlineLevel="0" collapsed="false">
      <c r="A11" s="9" t="s">
        <v>282</v>
      </c>
      <c r="B11" s="9" t="s">
        <v>283</v>
      </c>
      <c r="C11" s="9" t="s">
        <v>284</v>
      </c>
      <c r="D11" s="9" t="s">
        <v>258</v>
      </c>
      <c r="E11" s="10" t="n">
        <v>42642</v>
      </c>
      <c r="F11" s="9" t="s">
        <v>259</v>
      </c>
      <c r="G11" s="9" t="s">
        <v>260</v>
      </c>
      <c r="H11" s="9" t="s">
        <v>278</v>
      </c>
    </row>
    <row r="12" customFormat="false" ht="22.35" hidden="false" customHeight="false" outlineLevel="0" collapsed="false">
      <c r="A12" s="11" t="s">
        <v>285</v>
      </c>
      <c r="B12" s="11" t="s">
        <v>286</v>
      </c>
      <c r="C12" s="11" t="s">
        <v>287</v>
      </c>
      <c r="D12" s="11" t="s">
        <v>272</v>
      </c>
      <c r="E12" s="12" t="n">
        <v>42633</v>
      </c>
      <c r="F12" s="11" t="s">
        <v>288</v>
      </c>
      <c r="G12" s="11" t="s">
        <v>133</v>
      </c>
      <c r="H12" s="11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" t="s">
        <v>289</v>
      </c>
    </row>
    <row r="2" customFormat="false" ht="15" hidden="false" customHeight="false" outlineLevel="0" collapsed="false">
      <c r="A2" s="2" t="s">
        <v>290</v>
      </c>
    </row>
    <row r="4" customFormat="false" ht="30" hidden="false" customHeight="true" outlineLevel="0" collapsed="false">
      <c r="A4" s="8" t="s">
        <v>291</v>
      </c>
      <c r="B4" s="8" t="s">
        <v>292</v>
      </c>
      <c r="C4" s="8" t="s">
        <v>293</v>
      </c>
      <c r="D4" s="8" t="s">
        <v>23</v>
      </c>
      <c r="E4" s="8" t="s">
        <v>22</v>
      </c>
      <c r="F4" s="8" t="s">
        <v>294</v>
      </c>
      <c r="G4" s="8" t="s">
        <v>295</v>
      </c>
      <c r="H4" s="8" t="s">
        <v>296</v>
      </c>
      <c r="I4" s="8" t="s">
        <v>25</v>
      </c>
    </row>
    <row r="5" customFormat="false" ht="22.35" hidden="false" customHeight="false" outlineLevel="0" collapsed="false">
      <c r="A5" s="9" t="s">
        <v>297</v>
      </c>
      <c r="B5" s="9" t="s">
        <v>298</v>
      </c>
      <c r="C5" s="9" t="s">
        <v>299</v>
      </c>
      <c r="D5" s="9" t="s">
        <v>169</v>
      </c>
      <c r="E5" s="9" t="s">
        <v>300</v>
      </c>
      <c r="F5" s="10" t="n">
        <v>42636</v>
      </c>
      <c r="G5" s="10" t="n">
        <v>42643</v>
      </c>
      <c r="H5" s="9" t="n">
        <v>1</v>
      </c>
      <c r="I5" s="9" t="s">
        <v>34</v>
      </c>
    </row>
    <row r="6" customFormat="false" ht="22.35" hidden="false" customHeight="false" outlineLevel="0" collapsed="false">
      <c r="A6" s="11" t="s">
        <v>301</v>
      </c>
      <c r="B6" s="11" t="s">
        <v>302</v>
      </c>
      <c r="C6" s="11" t="s">
        <v>299</v>
      </c>
      <c r="D6" s="11" t="s">
        <v>75</v>
      </c>
      <c r="E6" s="11" t="s">
        <v>300</v>
      </c>
      <c r="F6" s="12" t="n">
        <v>42642</v>
      </c>
      <c r="G6" s="12" t="n">
        <v>42642</v>
      </c>
      <c r="H6" s="11" t="n">
        <v>0</v>
      </c>
      <c r="I6" s="11" t="s">
        <v>34</v>
      </c>
    </row>
    <row r="7" customFormat="false" ht="22.35" hidden="false" customHeight="false" outlineLevel="0" collapsed="false">
      <c r="A7" s="9" t="s">
        <v>303</v>
      </c>
      <c r="B7" s="9" t="s">
        <v>304</v>
      </c>
      <c r="C7" s="9" t="s">
        <v>299</v>
      </c>
      <c r="D7" s="9" t="s">
        <v>104</v>
      </c>
      <c r="E7" s="9" t="s">
        <v>277</v>
      </c>
      <c r="F7" s="10" t="n">
        <v>42643</v>
      </c>
      <c r="G7" s="10" t="n">
        <v>42643</v>
      </c>
      <c r="H7" s="9" t="n">
        <v>0</v>
      </c>
      <c r="I7" s="9" t="s">
        <v>34</v>
      </c>
    </row>
    <row r="8" customFormat="false" ht="22.35" hidden="false" customHeight="false" outlineLevel="0" collapsed="false">
      <c r="A8" s="11" t="s">
        <v>305</v>
      </c>
      <c r="B8" s="11" t="s">
        <v>306</v>
      </c>
      <c r="C8" s="11" t="s">
        <v>299</v>
      </c>
      <c r="D8" s="11" t="s">
        <v>162</v>
      </c>
      <c r="E8" s="11" t="s">
        <v>307</v>
      </c>
      <c r="F8" s="12" t="n">
        <v>42641</v>
      </c>
      <c r="G8" s="12" t="n">
        <v>42641</v>
      </c>
      <c r="H8" s="11" t="n">
        <v>0</v>
      </c>
      <c r="I8" s="11" t="s">
        <v>48</v>
      </c>
    </row>
    <row r="9" customFormat="false" ht="22.35" hidden="false" customHeight="false" outlineLevel="0" collapsed="false">
      <c r="A9" s="9" t="s">
        <v>308</v>
      </c>
      <c r="B9" s="9" t="s">
        <v>309</v>
      </c>
      <c r="C9" s="9" t="s">
        <v>310</v>
      </c>
      <c r="D9" s="9" t="s">
        <v>60</v>
      </c>
      <c r="E9" s="9" t="s">
        <v>311</v>
      </c>
      <c r="F9" s="10" t="n">
        <v>42646</v>
      </c>
      <c r="G9" s="10" t="n">
        <v>42646</v>
      </c>
      <c r="H9" s="9" t="n">
        <v>0</v>
      </c>
      <c r="I9" s="9" t="s">
        <v>43</v>
      </c>
    </row>
    <row r="10" customFormat="false" ht="22.35" hidden="false" customHeight="false" outlineLevel="0" collapsed="false">
      <c r="A10" s="11" t="s">
        <v>312</v>
      </c>
      <c r="B10" s="11" t="s">
        <v>313</v>
      </c>
      <c r="C10" s="11" t="s">
        <v>314</v>
      </c>
      <c r="D10" s="11" t="s">
        <v>82</v>
      </c>
      <c r="E10" s="11" t="s">
        <v>300</v>
      </c>
      <c r="F10" s="12" t="n">
        <v>42648</v>
      </c>
      <c r="G10" s="12" t="n">
        <v>42648</v>
      </c>
      <c r="H10" s="11" t="n">
        <v>0</v>
      </c>
      <c r="I10" s="11" t="s">
        <v>34</v>
      </c>
    </row>
    <row r="11" customFormat="false" ht="22.35" hidden="false" customHeight="false" outlineLevel="0" collapsed="false">
      <c r="A11" s="9" t="s">
        <v>315</v>
      </c>
      <c r="B11" s="9" t="s">
        <v>316</v>
      </c>
      <c r="C11" s="9" t="s">
        <v>310</v>
      </c>
      <c r="D11" s="9" t="s">
        <v>133</v>
      </c>
      <c r="E11" s="9" t="s">
        <v>288</v>
      </c>
      <c r="F11" s="10" t="n">
        <v>42650</v>
      </c>
      <c r="G11" s="10" t="n">
        <v>42650</v>
      </c>
      <c r="H11" s="9" t="n">
        <v>0</v>
      </c>
      <c r="I11" s="9" t="s">
        <v>43</v>
      </c>
    </row>
    <row r="12" customFormat="false" ht="22.35" hidden="false" customHeight="false" outlineLevel="0" collapsed="false">
      <c r="A12" s="11" t="s">
        <v>317</v>
      </c>
      <c r="B12" s="11" t="s">
        <v>318</v>
      </c>
      <c r="C12" s="11" t="s">
        <v>319</v>
      </c>
      <c r="D12" s="11" t="s">
        <v>169</v>
      </c>
      <c r="E12" s="11" t="s">
        <v>277</v>
      </c>
      <c r="F12" s="12" t="n">
        <v>42636</v>
      </c>
      <c r="G12" s="12" t="n">
        <v>42643</v>
      </c>
      <c r="H12" s="11" t="n">
        <v>1</v>
      </c>
      <c r="I12" s="11" t="s">
        <v>34</v>
      </c>
    </row>
    <row r="13" customFormat="false" ht="22.35" hidden="false" customHeight="false" outlineLevel="0" collapsed="false">
      <c r="A13" s="9" t="s">
        <v>320</v>
      </c>
      <c r="B13" s="9" t="s">
        <v>321</v>
      </c>
      <c r="C13" s="9" t="s">
        <v>322</v>
      </c>
      <c r="D13" s="9" t="s">
        <v>33</v>
      </c>
      <c r="E13" s="9" t="s">
        <v>307</v>
      </c>
      <c r="F13" s="10" t="n">
        <v>42646</v>
      </c>
      <c r="G13" s="10" t="n">
        <v>42646</v>
      </c>
      <c r="H13" s="9" t="n">
        <v>0</v>
      </c>
      <c r="I13" s="9" t="s">
        <v>43</v>
      </c>
    </row>
    <row r="14" customFormat="false" ht="22.35" hidden="false" customHeight="false" outlineLevel="0" collapsed="false">
      <c r="A14" s="11" t="s">
        <v>323</v>
      </c>
      <c r="B14" s="11" t="s">
        <v>324</v>
      </c>
      <c r="C14" s="11" t="s">
        <v>325</v>
      </c>
      <c r="D14" s="11" t="s">
        <v>133</v>
      </c>
      <c r="E14" s="11" t="s">
        <v>288</v>
      </c>
      <c r="F14" s="12" t="n">
        <v>42639</v>
      </c>
      <c r="G14" s="12" t="n">
        <v>42639</v>
      </c>
      <c r="H14" s="11" t="n">
        <v>0</v>
      </c>
      <c r="I14" s="11" t="s">
        <v>48</v>
      </c>
    </row>
    <row r="15" customFormat="false" ht="22.35" hidden="false" customHeight="false" outlineLevel="0" collapsed="false">
      <c r="A15" s="9" t="s">
        <v>326</v>
      </c>
      <c r="B15" s="9" t="s">
        <v>327</v>
      </c>
      <c r="C15" s="9" t="s">
        <v>310</v>
      </c>
      <c r="D15" s="9" t="s">
        <v>33</v>
      </c>
      <c r="E15" s="9" t="s">
        <v>307</v>
      </c>
      <c r="F15" s="10" t="n">
        <v>42657</v>
      </c>
      <c r="G15" s="10" t="n">
        <v>42657</v>
      </c>
      <c r="H15" s="9" t="n">
        <v>0</v>
      </c>
      <c r="I15" s="9" t="s">
        <v>43</v>
      </c>
    </row>
    <row r="16" customFormat="false" ht="22.35" hidden="false" customHeight="false" outlineLevel="0" collapsed="false">
      <c r="A16" s="11" t="s">
        <v>328</v>
      </c>
      <c r="B16" s="11" t="s">
        <v>329</v>
      </c>
      <c r="C16" s="11" t="s">
        <v>310</v>
      </c>
      <c r="D16" s="11" t="s">
        <v>111</v>
      </c>
      <c r="E16" s="11" t="s">
        <v>288</v>
      </c>
      <c r="F16" s="12" t="n">
        <v>42650</v>
      </c>
      <c r="G16" s="12" t="n">
        <v>42650</v>
      </c>
      <c r="H16" s="11" t="n">
        <v>0</v>
      </c>
      <c r="I16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19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" t="s">
        <v>330</v>
      </c>
    </row>
    <row r="2" customFormat="false" ht="15" hidden="false" customHeight="false" outlineLevel="0" collapsed="false">
      <c r="A2" s="2" t="s">
        <v>331</v>
      </c>
    </row>
    <row r="4" customFormat="false" ht="30" hidden="false" customHeight="true" outlineLevel="0" collapsed="false">
      <c r="A4" s="8" t="s">
        <v>20</v>
      </c>
      <c r="B4" s="8" t="s">
        <v>332</v>
      </c>
      <c r="C4" s="8" t="s">
        <v>333</v>
      </c>
      <c r="D4" s="8" t="s">
        <v>334</v>
      </c>
      <c r="E4" s="8" t="s">
        <v>335</v>
      </c>
      <c r="F4" s="8" t="s">
        <v>336</v>
      </c>
      <c r="G4" s="8" t="s">
        <v>337</v>
      </c>
      <c r="H4" s="8" t="s">
        <v>25</v>
      </c>
    </row>
    <row r="5" customFormat="false" ht="15" hidden="false" customHeight="false" outlineLevel="0" collapsed="false">
      <c r="A5" s="9" t="s">
        <v>338</v>
      </c>
      <c r="B5" s="9" t="s">
        <v>339</v>
      </c>
      <c r="C5" s="9" t="s">
        <v>59</v>
      </c>
      <c r="D5" s="9" t="s">
        <v>32</v>
      </c>
      <c r="E5" s="10" t="n">
        <v>42655</v>
      </c>
      <c r="F5" s="9" t="s">
        <v>340</v>
      </c>
      <c r="G5" s="9" t="s">
        <v>204</v>
      </c>
      <c r="H5" s="16" t="s">
        <v>341</v>
      </c>
    </row>
    <row r="6" customFormat="false" ht="15" hidden="false" customHeight="false" outlineLevel="0" collapsed="false">
      <c r="A6" s="11" t="s">
        <v>342</v>
      </c>
      <c r="B6" s="11" t="s">
        <v>343</v>
      </c>
      <c r="C6" s="11" t="s">
        <v>74</v>
      </c>
      <c r="D6" s="11" t="s">
        <v>118</v>
      </c>
      <c r="E6" s="12" t="n">
        <v>42646</v>
      </c>
      <c r="F6" s="11" t="s">
        <v>340</v>
      </c>
      <c r="G6" s="11" t="s">
        <v>185</v>
      </c>
      <c r="H6" s="14" t="s">
        <v>344</v>
      </c>
    </row>
    <row r="7" customFormat="false" ht="15" hidden="false" customHeight="false" outlineLevel="0" collapsed="false">
      <c r="A7" s="9" t="s">
        <v>345</v>
      </c>
      <c r="B7" s="9" t="s">
        <v>346</v>
      </c>
      <c r="C7" s="9" t="s">
        <v>96</v>
      </c>
      <c r="D7" s="9" t="s">
        <v>96</v>
      </c>
      <c r="E7" s="10" t="n">
        <v>42671</v>
      </c>
      <c r="F7" s="9" t="s">
        <v>340</v>
      </c>
      <c r="G7" s="9" t="s">
        <v>185</v>
      </c>
      <c r="H7" s="16" t="s">
        <v>341</v>
      </c>
    </row>
    <row r="8" customFormat="false" ht="22.35" hidden="false" customHeight="false" outlineLevel="0" collapsed="false">
      <c r="A8" s="11" t="s">
        <v>347</v>
      </c>
      <c r="B8" s="11" t="s">
        <v>348</v>
      </c>
      <c r="C8" s="11" t="s">
        <v>96</v>
      </c>
      <c r="D8" s="11" t="s">
        <v>132</v>
      </c>
      <c r="E8" s="12" t="n">
        <v>42654</v>
      </c>
      <c r="F8" s="11" t="s">
        <v>349</v>
      </c>
      <c r="G8" s="11" t="s">
        <v>185</v>
      </c>
      <c r="H8" s="11" t="s">
        <v>350</v>
      </c>
    </row>
    <row r="9" customFormat="false" ht="15" hidden="false" customHeight="false" outlineLevel="0" collapsed="false">
      <c r="A9" s="9" t="s">
        <v>351</v>
      </c>
      <c r="B9" s="9" t="s">
        <v>352</v>
      </c>
      <c r="C9" s="9" t="s">
        <v>118</v>
      </c>
      <c r="D9" s="9" t="s">
        <v>118</v>
      </c>
      <c r="E9" s="10" t="n">
        <v>42657</v>
      </c>
      <c r="F9" s="9" t="s">
        <v>349</v>
      </c>
      <c r="G9" s="9" t="s">
        <v>185</v>
      </c>
      <c r="H9" s="9" t="s">
        <v>350</v>
      </c>
    </row>
    <row r="10" customFormat="false" ht="15" hidden="false" customHeight="false" outlineLevel="0" collapsed="false">
      <c r="A10" s="11" t="s">
        <v>353</v>
      </c>
      <c r="B10" s="11" t="s">
        <v>354</v>
      </c>
      <c r="C10" s="11" t="s">
        <v>150</v>
      </c>
      <c r="D10" s="11" t="s">
        <v>150</v>
      </c>
      <c r="E10" s="12" t="n">
        <v>42664</v>
      </c>
      <c r="F10" s="11" t="s">
        <v>355</v>
      </c>
      <c r="G10" s="11" t="s">
        <v>185</v>
      </c>
      <c r="H10" s="11" t="s">
        <v>350</v>
      </c>
    </row>
    <row r="11" customFormat="false" ht="15" hidden="false" customHeight="false" outlineLevel="0" collapsed="false">
      <c r="A11" s="9" t="s">
        <v>356</v>
      </c>
      <c r="B11" s="9" t="s">
        <v>357</v>
      </c>
      <c r="C11" s="9" t="s">
        <v>59</v>
      </c>
      <c r="D11" s="9" t="s">
        <v>59</v>
      </c>
      <c r="E11" s="10" t="n">
        <v>42655</v>
      </c>
      <c r="F11" s="9" t="s">
        <v>349</v>
      </c>
      <c r="G11" s="9" t="s">
        <v>204</v>
      </c>
      <c r="H11" s="16" t="s">
        <v>341</v>
      </c>
    </row>
    <row r="12" customFormat="false" ht="22.35" hidden="false" customHeight="false" outlineLevel="0" collapsed="false">
      <c r="A12" s="11" t="s">
        <v>358</v>
      </c>
      <c r="B12" s="11" t="s">
        <v>359</v>
      </c>
      <c r="C12" s="11" t="s">
        <v>132</v>
      </c>
      <c r="D12" s="11" t="s">
        <v>132</v>
      </c>
      <c r="E12" s="12" t="n">
        <v>42654</v>
      </c>
      <c r="F12" s="11" t="s">
        <v>349</v>
      </c>
      <c r="G12" s="11" t="s">
        <v>185</v>
      </c>
      <c r="H12" s="11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6" min="5" style="0" width="14"/>
    <col collapsed="false" customWidth="true" hidden="false" outlineLevel="0" max="7" min="7" style="0" width="17"/>
  </cols>
  <sheetData>
    <row r="1" customFormat="false" ht="16.1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4" customFormat="false" ht="15" hidden="false" customHeight="false" outlineLevel="0" collapsed="false">
      <c r="A4" s="3" t="s">
        <v>362</v>
      </c>
    </row>
    <row r="5" customFormat="false" ht="30" hidden="false" customHeight="true" outlineLevel="0" collapsed="false">
      <c r="A5" s="8" t="s">
        <v>25</v>
      </c>
      <c r="B5" s="8" t="s">
        <v>363</v>
      </c>
      <c r="C5" s="8" t="s">
        <v>364</v>
      </c>
    </row>
    <row r="6" customFormat="false" ht="15" hidden="false" customHeight="false" outlineLevel="0" collapsed="false">
      <c r="A6" s="17" t="s">
        <v>43</v>
      </c>
      <c r="B6" s="18" t="n">
        <f aca="false">COUNTIF(Massnahmenplan!$F$5:$F$42,$A6)</f>
        <v>10</v>
      </c>
      <c r="C6" s="19" t="n">
        <f aca="false">IFERROR($B6/$B$11,"")</f>
        <v>0.263157894736842</v>
      </c>
    </row>
    <row r="7" customFormat="false" ht="15" hidden="false" customHeight="false" outlineLevel="0" collapsed="false">
      <c r="A7" s="17" t="s">
        <v>34</v>
      </c>
      <c r="B7" s="18" t="n">
        <f aca="false">COUNTIF(Massnahmenplan!$F$5:$F$42,$A7)</f>
        <v>20</v>
      </c>
      <c r="C7" s="19" t="n">
        <f aca="false">IFERROR($B7/$B$11,"")</f>
        <v>0.526315789473684</v>
      </c>
    </row>
    <row r="8" customFormat="false" ht="15" hidden="false" customHeight="false" outlineLevel="0" collapsed="false">
      <c r="A8" s="17" t="s">
        <v>48</v>
      </c>
      <c r="B8" s="18" t="n">
        <f aca="false">COUNTIF(Massnahmenplan!$F$5:$F$42,$A8)</f>
        <v>4</v>
      </c>
      <c r="C8" s="19" t="n">
        <f aca="false">IFERROR($B8/$B$11,"")</f>
        <v>0.105263157894737</v>
      </c>
    </row>
    <row r="9" customFormat="false" ht="15" hidden="false" customHeight="false" outlineLevel="0" collapsed="false">
      <c r="A9" s="17" t="s">
        <v>64</v>
      </c>
      <c r="B9" s="18" t="n">
        <f aca="false">COUNTIF(Massnahmenplan!$F$5:$F$42,$A9)</f>
        <v>2</v>
      </c>
      <c r="C9" s="19" t="n">
        <f aca="false">IFERROR($B9/$B$11,"")</f>
        <v>0.0526315789473684</v>
      </c>
    </row>
    <row r="10" customFormat="false" ht="15" hidden="false" customHeight="false" outlineLevel="0" collapsed="false">
      <c r="A10" s="17" t="s">
        <v>61</v>
      </c>
      <c r="B10" s="18" t="n">
        <f aca="false">COUNTIF(Massnahmenplan!$F$5:$F$42,$A10)</f>
        <v>2</v>
      </c>
      <c r="C10" s="19" t="n">
        <f aca="false">IFERROR($B10/$B$11,"")</f>
        <v>0.0526315789473684</v>
      </c>
    </row>
    <row r="11" customFormat="false" ht="15" hidden="false" customHeight="false" outlineLevel="0" collapsed="false">
      <c r="A11" s="20" t="s">
        <v>365</v>
      </c>
      <c r="B11" s="21" t="n">
        <f aca="false">SUM($B$6:$B$10)</f>
        <v>38</v>
      </c>
    </row>
    <row r="13" customFormat="false" ht="15" hidden="false" customHeight="false" outlineLevel="0" collapsed="false">
      <c r="A13" s="3" t="s">
        <v>366</v>
      </c>
    </row>
    <row r="14" customFormat="false" ht="30" hidden="false" customHeight="true" outlineLevel="0" collapsed="false">
      <c r="A14" s="8" t="s">
        <v>22</v>
      </c>
      <c r="B14" s="8" t="s">
        <v>367</v>
      </c>
      <c r="C14" s="8" t="s">
        <v>368</v>
      </c>
      <c r="D14" s="8" t="s">
        <v>369</v>
      </c>
      <c r="E14" s="8" t="s">
        <v>26</v>
      </c>
      <c r="F14" s="8" t="s">
        <v>370</v>
      </c>
      <c r="G14" s="8" t="s">
        <v>371</v>
      </c>
    </row>
    <row r="15" customFormat="false" ht="15" hidden="false" customHeight="false" outlineLevel="0" collapsed="false">
      <c r="A15" s="17" t="s">
        <v>32</v>
      </c>
      <c r="B15" s="18" t="n">
        <f aca="false">COUNTIF(Massnahmenplan!$C$5:$C$42,$A15)</f>
        <v>9</v>
      </c>
      <c r="C15" s="18" t="n">
        <f aca="false">COUNTIFS(Massnahmenplan!$C$5:$C$42,$A15,Massnahmenplan!$F$5:$F$42,"Erledigt")</f>
        <v>2</v>
      </c>
      <c r="D15" s="18" t="n">
        <f aca="false">COUNTIFS(Massnahmenplan!$C$5:$C$42,$A15,Massnahmenplan!$F$5:$F$42,"Überfällig")</f>
        <v>0</v>
      </c>
      <c r="E15" s="18" t="n">
        <f aca="false">IFERROR(ROUND(AVERAGEIF(Massnahmenplan!$C$5:$C$42,$A15,Massnahmenplan!$G$5:$G$42),0),"")</f>
        <v>57</v>
      </c>
      <c r="F15" s="18" t="n">
        <f aca="false">COUNTIF(Meilensteine!$D$5:$D$22,$A15)</f>
        <v>3</v>
      </c>
      <c r="G15" s="18" t="n">
        <f aca="false">COUNTIFS(Meilensteine!$D$5:$D$22,$A15,Meilensteine!$I$5:$I$22,"Verzögert")</f>
        <v>0</v>
      </c>
    </row>
    <row r="16" customFormat="false" ht="15" hidden="false" customHeight="false" outlineLevel="0" collapsed="false">
      <c r="A16" s="17" t="s">
        <v>59</v>
      </c>
      <c r="B16" s="18" t="n">
        <f aca="false">COUNTIF(Massnahmenplan!$C$5:$C$42,$A16)</f>
        <v>4</v>
      </c>
      <c r="C16" s="18" t="n">
        <f aca="false">COUNTIFS(Massnahmenplan!$C$5:$C$42,$A16,Massnahmenplan!$F$5:$F$42,"Erledigt")</f>
        <v>0</v>
      </c>
      <c r="D16" s="18" t="n">
        <f aca="false">COUNTIFS(Massnahmenplan!$C$5:$C$42,$A16,Massnahmenplan!$F$5:$F$42,"Überfällig")</f>
        <v>1</v>
      </c>
      <c r="E16" s="18" t="n">
        <f aca="false">IFERROR(ROUND(AVERAGEIF(Massnahmenplan!$C$5:$C$42,$A16,Massnahmenplan!$G$5:$G$42),0),"")</f>
        <v>33</v>
      </c>
      <c r="F16" s="18" t="n">
        <f aca="false">COUNTIF(Meilensteine!$D$5:$D$22,$A16)</f>
        <v>2</v>
      </c>
      <c r="G16" s="18" t="n">
        <f aca="false">COUNTIFS(Meilensteine!$D$5:$D$22,$A16,Meilensteine!$I$5:$I$22,"Verzögert")</f>
        <v>1</v>
      </c>
    </row>
    <row r="17" customFormat="false" ht="15" hidden="false" customHeight="false" outlineLevel="0" collapsed="false">
      <c r="A17" s="17" t="s">
        <v>74</v>
      </c>
      <c r="B17" s="18" t="n">
        <f aca="false">COUNTIF(Massnahmenplan!$C$5:$C$42,$A17)</f>
        <v>7</v>
      </c>
      <c r="C17" s="18" t="n">
        <f aca="false">COUNTIFS(Massnahmenplan!$C$5:$C$42,$A17,Massnahmenplan!$F$5:$F$42,"Erledigt")</f>
        <v>1</v>
      </c>
      <c r="D17" s="18" t="n">
        <f aca="false">COUNTIFS(Massnahmenplan!$C$5:$C$42,$A17,Massnahmenplan!$F$5:$F$42,"Überfällig")</f>
        <v>1</v>
      </c>
      <c r="E17" s="18" t="n">
        <f aca="false">IFERROR(ROUND(AVERAGEIF(Massnahmenplan!$C$5:$C$42,$A17,Massnahmenplan!$G$5:$G$42),0),"")</f>
        <v>59</v>
      </c>
      <c r="F17" s="18" t="n">
        <f aca="false">COUNTIF(Meilensteine!$D$5:$D$22,$A17)</f>
        <v>2</v>
      </c>
      <c r="G17" s="18" t="n">
        <f aca="false">COUNTIFS(Meilensteine!$D$5:$D$22,$A17,Meilensteine!$I$5:$I$22,"Verzögert")</f>
        <v>1</v>
      </c>
    </row>
    <row r="18" customFormat="false" ht="15" hidden="false" customHeight="false" outlineLevel="0" collapsed="false">
      <c r="A18" s="17" t="s">
        <v>96</v>
      </c>
      <c r="B18" s="18" t="n">
        <f aca="false">COUNTIF(Massnahmenplan!$C$5:$C$42,$A18)</f>
        <v>6</v>
      </c>
      <c r="C18" s="18" t="n">
        <f aca="false">COUNTIFS(Massnahmenplan!$C$5:$C$42,$A18,Massnahmenplan!$F$5:$F$42,"Erledigt")</f>
        <v>0</v>
      </c>
      <c r="D18" s="18" t="n">
        <f aca="false">COUNTIFS(Massnahmenplan!$C$5:$C$42,$A18,Massnahmenplan!$F$5:$F$42,"Überfällig")</f>
        <v>0</v>
      </c>
      <c r="E18" s="18" t="n">
        <f aca="false">IFERROR(ROUND(AVERAGEIF(Massnahmenplan!$C$5:$C$42,$A18,Massnahmenplan!$G$5:$G$42),0),"")</f>
        <v>49</v>
      </c>
      <c r="F18" s="18" t="n">
        <f aca="false">COUNTIF(Meilensteine!$D$5:$D$22,$A18)</f>
        <v>4</v>
      </c>
      <c r="G18" s="18" t="n">
        <f aca="false">COUNTIFS(Meilensteine!$D$5:$D$22,$A18,Meilensteine!$I$5:$I$22,"Verzögert")</f>
        <v>1</v>
      </c>
    </row>
    <row r="19" customFormat="false" ht="15" hidden="false" customHeight="false" outlineLevel="0" collapsed="false">
      <c r="A19" s="17" t="s">
        <v>118</v>
      </c>
      <c r="B19" s="18" t="n">
        <f aca="false">COUNTIF(Massnahmenplan!$C$5:$C$42,$A19)</f>
        <v>4</v>
      </c>
      <c r="C19" s="18" t="n">
        <f aca="false">COUNTIFS(Massnahmenplan!$C$5:$C$42,$A19,Massnahmenplan!$F$5:$F$42,"Erledigt")</f>
        <v>0</v>
      </c>
      <c r="D19" s="18" t="n">
        <f aca="false">COUNTIFS(Massnahmenplan!$C$5:$C$42,$A19,Massnahmenplan!$F$5:$F$42,"Überfällig")</f>
        <v>0</v>
      </c>
      <c r="E19" s="18" t="n">
        <f aca="false">IFERROR(ROUND(AVERAGEIF(Massnahmenplan!$C$5:$C$42,$A19,Massnahmenplan!$G$5:$G$42),0),"")</f>
        <v>37</v>
      </c>
      <c r="F19" s="18" t="n">
        <f aca="false">COUNTIF(Meilensteine!$D$5:$D$22,$A19)</f>
        <v>2</v>
      </c>
      <c r="G19" s="18" t="n">
        <f aca="false">COUNTIFS(Meilensteine!$D$5:$D$22,$A19,Meilensteine!$I$5:$I$22,"Verzögert")</f>
        <v>0</v>
      </c>
    </row>
    <row r="20" customFormat="false" ht="15" hidden="false" customHeight="false" outlineLevel="0" collapsed="false">
      <c r="A20" s="17" t="s">
        <v>132</v>
      </c>
      <c r="B20" s="18" t="n">
        <f aca="false">COUNTIF(Massnahmenplan!$C$5:$C$42,$A20)</f>
        <v>5</v>
      </c>
      <c r="C20" s="18" t="n">
        <f aca="false">COUNTIFS(Massnahmenplan!$C$5:$C$42,$A20,Massnahmenplan!$F$5:$F$42,"Erledigt")</f>
        <v>1</v>
      </c>
      <c r="D20" s="18" t="n">
        <f aca="false">COUNTIFS(Massnahmenplan!$C$5:$C$42,$A20,Massnahmenplan!$F$5:$F$42,"Überfällig")</f>
        <v>0</v>
      </c>
      <c r="E20" s="18" t="n">
        <f aca="false">IFERROR(ROUND(AVERAGEIF(Massnahmenplan!$C$5:$C$42,$A20,Massnahmenplan!$G$5:$G$42),0),"")</f>
        <v>47</v>
      </c>
      <c r="F20" s="18" t="n">
        <f aca="false">COUNTIF(Meilensteine!$D$5:$D$22,$A20)</f>
        <v>4</v>
      </c>
      <c r="G20" s="18" t="n">
        <f aca="false">COUNTIFS(Meilensteine!$D$5:$D$22,$A20,Meilensteine!$I$5:$I$22,"Verzögert")</f>
        <v>0</v>
      </c>
    </row>
    <row r="21" customFormat="false" ht="15" hidden="false" customHeight="false" outlineLevel="0" collapsed="false">
      <c r="A21" s="17" t="s">
        <v>150</v>
      </c>
      <c r="B21" s="18" t="n">
        <f aca="false">COUNTIF(Massnahmenplan!$C$5:$C$42,$A21)</f>
        <v>3</v>
      </c>
      <c r="C21" s="18" t="n">
        <f aca="false">COUNTIFS(Massnahmenplan!$C$5:$C$42,$A21,Massnahmenplan!$F$5:$F$42,"Erledigt")</f>
        <v>0</v>
      </c>
      <c r="D21" s="18" t="n">
        <f aca="false">COUNTIFS(Massnahmenplan!$C$5:$C$42,$A21,Massnahmenplan!$F$5:$F$42,"Überfällig")</f>
        <v>0</v>
      </c>
      <c r="E21" s="18" t="n">
        <f aca="false">IFERROR(ROUND(AVERAGEIF(Massnahmenplan!$C$5:$C$42,$A21,Massnahmenplan!$G$5:$G$42),0),"")</f>
        <v>48</v>
      </c>
      <c r="F21" s="18" t="n">
        <f aca="false">COUNTIF(Meilensteine!$D$5:$D$22,$A21)</f>
        <v>1</v>
      </c>
      <c r="G21" s="18" t="n">
        <f aca="false">COUNTIFS(Meilensteine!$D$5:$D$22,$A21,Meilensteine!$I$5:$I$22,"Verzögert")</f>
        <v>0</v>
      </c>
    </row>
    <row r="23" customFormat="false" ht="15" hidden="false" customHeight="false" outlineLevel="0" collapsed="false">
      <c r="A23" s="3" t="s">
        <v>372</v>
      </c>
    </row>
    <row r="24" customFormat="false" ht="15" hidden="false" customHeight="false" outlineLevel="0" collapsed="false">
      <c r="A24" s="17" t="s">
        <v>372</v>
      </c>
      <c r="B24" s="18" t="n">
        <f aca="false">COUNTA(Meilensteine!$B$5:$B$22)</f>
        <v>18</v>
      </c>
    </row>
    <row r="25" customFormat="false" ht="15" hidden="false" customHeight="false" outlineLevel="0" collapsed="false">
      <c r="A25" s="17" t="s">
        <v>373</v>
      </c>
      <c r="B25" s="18" t="n">
        <f aca="false">COUNTIF(Meilensteine!$J$5:$J$22,"Ja")</f>
        <v>13</v>
      </c>
    </row>
    <row r="26" customFormat="false" ht="15" hidden="false" customHeight="false" outlineLevel="0" collapsed="false">
      <c r="A26" s="17" t="s">
        <v>371</v>
      </c>
      <c r="B26" s="18" t="n">
        <f aca="false">COUNTIF(Meilensteine!$I$5:$I$22,"Verzögert")</f>
        <v>3</v>
      </c>
    </row>
    <row r="27" customFormat="false" ht="15" hidden="false" customHeight="false" outlineLevel="0" collapsed="false">
      <c r="A27" s="17" t="s">
        <v>374</v>
      </c>
      <c r="B27" s="18" t="n">
        <f aca="false">MAX(Meilensteine!$H$5:$H$22)</f>
        <v>14</v>
      </c>
    </row>
    <row r="28" customFormat="false" ht="15" hidden="false" customHeight="false" outlineLevel="0" collapsed="false">
      <c r="A28" s="17" t="s">
        <v>375</v>
      </c>
      <c r="B28" s="18" t="n">
        <f aca="false">DATE(2016,12,16)-DATE(2016,9,29)</f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2026-07-30T14:55:32Z</dcterms:created>
  <dc:creator>openpyxl</dc:creator>
  <dc:description/>
  <dc:language>en-US</dc:language>
  <cp:lastModifiedBy/>
  <dcterms:modified xsi:type="dcterms:W3CDTF">2026-07-30T14:55:32Z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